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460" windowHeight="7050" tabRatio="491" firstSheet="2" activeTab="2"/>
  </bookViews>
  <sheets>
    <sheet name="FormulaBasics" sheetId="1" r:id="rId1"/>
    <sheet name="FunctionBuilder" sheetId="4" r:id="rId2"/>
    <sheet name="AbsoluteReferences" sheetId="6" r:id="rId3"/>
    <sheet name="NamedRanges" sheetId="8" r:id="rId4"/>
    <sheet name="Aggregation" sheetId="3" r:id="rId5"/>
  </sheets>
  <definedNames>
    <definedName name="_xlnm._FilterDatabase" localSheetId="4" hidden="1">Aggregation!$A$25:$S$74</definedName>
    <definedName name="_xlnm._FilterDatabase" localSheetId="1" hidden="1">FunctionBuilder!#REF!</definedName>
    <definedName name="Category">Aggregation!$O$26:$O$74</definedName>
    <definedName name="Country_Region">Aggregation!$S$26:$S$74</definedName>
    <definedName name="Customer">Aggregation!$Q$26:$Q$74</definedName>
    <definedName name="Customer_ID">Aggregation!$I$26:$I$74</definedName>
    <definedName name="Customer_Name">Aggregation!$D$26:$D$74</definedName>
    <definedName name="Employee">Aggregation!$C$26:$C$74</definedName>
    <definedName name="Employee_ID">Aggregation!$G$26:$G$74</definedName>
    <definedName name="Month">Aggregation!$K$26:$K$74</definedName>
    <definedName name="Month_Name">Aggregation!$N$26:$N$74</definedName>
    <definedName name="MonthOfQuarter">Aggregation!$M$26:$M$74</definedName>
    <definedName name="NR_GoldDiscount">NamedRanges!$F$6</definedName>
    <definedName name="NR_PlatinumDiscount">NamedRanges!$G$6</definedName>
    <definedName name="NR_Price">NamedRanges!$C$8:$C$14</definedName>
    <definedName name="NR_Purchases">NamedRanges!$B$8:$B$14</definedName>
    <definedName name="NR_SilverDiscount">NamedRanges!$E$6</definedName>
    <definedName name="NR_Totals">NamedRanges!$D$8:$D$14</definedName>
    <definedName name="Order_Date">Aggregation!$B$26:$B$74</definedName>
    <definedName name="Order_ID">Aggregation!$A$26:$A$74</definedName>
    <definedName name="Product">Aggregation!$P$26:$P$74</definedName>
    <definedName name="Product_ID">Aggregation!$H$26:$H$74</definedName>
    <definedName name="Product_Name">Aggregation!$E$26:$E$74</definedName>
    <definedName name="Quarter">Aggregation!$L$26:$L$74</definedName>
    <definedName name="Sales">Aggregation!$F$26:$F$74</definedName>
    <definedName name="State_Province">Aggregation!$R$26:$R$74</definedName>
    <definedName name="Year">Aggregation!$J$26:$J$74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<sst xmlns="http://schemas.openxmlformats.org/spreadsheetml/2006/main" count="608" uniqueCount="158">
  <si>
    <t>Customer Purchase Data</t>
  </si>
  <si>
    <t>Customer</t>
  </si>
  <si>
    <t>Year 1 Purchases</t>
  </si>
  <si>
    <t>Year 2 Purchase</t>
  </si>
  <si>
    <t>Total</t>
  </si>
  <si>
    <t>Yearly Average</t>
  </si>
  <si>
    <t>A</t>
  </si>
  <si>
    <t>B</t>
  </si>
  <si>
    <t>C</t>
  </si>
  <si>
    <t>D</t>
  </si>
  <si>
    <t>E</t>
  </si>
  <si>
    <t>F</t>
  </si>
  <si>
    <t>G</t>
  </si>
  <si>
    <t>Totals:</t>
  </si>
  <si>
    <t>Text Functions</t>
  </si>
  <si>
    <t>Left</t>
  </si>
  <si>
    <t>Concat</t>
  </si>
  <si>
    <t>Have</t>
  </si>
  <si>
    <t>a</t>
  </si>
  <si>
    <t>nice</t>
  </si>
  <si>
    <t>day</t>
  </si>
  <si>
    <t>Payment Function</t>
  </si>
  <si>
    <t>PMT</t>
  </si>
  <si>
    <t>Annual</t>
  </si>
  <si>
    <t>Monthly</t>
  </si>
  <si>
    <t>Price</t>
  </si>
  <si>
    <t>Rate</t>
  </si>
  <si>
    <t>Term</t>
  </si>
  <si>
    <t>Payment</t>
  </si>
  <si>
    <t>Final Table</t>
  </si>
  <si>
    <t>Customer Purchase Data with Discounts</t>
  </si>
  <si>
    <t>Discounts</t>
  </si>
  <si>
    <t>Purchases</t>
  </si>
  <si>
    <t xml:space="preserve">Silver </t>
  </si>
  <si>
    <t>Gold</t>
  </si>
  <si>
    <t>Platinum</t>
  </si>
  <si>
    <t>Acme Rockets</t>
  </si>
  <si>
    <t>Babbage Imports</t>
  </si>
  <si>
    <t>Cogswell Cogs</t>
  </si>
  <si>
    <t>Dinaco Auto</t>
  </si>
  <si>
    <t>Electric Company</t>
  </si>
  <si>
    <t>Oscorp</t>
  </si>
  <si>
    <t>Stark Enterprises</t>
  </si>
  <si>
    <t>Discount</t>
  </si>
  <si>
    <t>Sales</t>
  </si>
  <si>
    <t>Employees</t>
  </si>
  <si>
    <t>Company</t>
  </si>
  <si>
    <t>Andrew Cencini</t>
  </si>
  <si>
    <t>Company A</t>
  </si>
  <si>
    <t>Anne Hellung-Larsen</t>
  </si>
  <si>
    <t>Company AA</t>
  </si>
  <si>
    <t>Jan Kotas</t>
  </si>
  <si>
    <t>Company BB</t>
  </si>
  <si>
    <t>Laura Giussani</t>
  </si>
  <si>
    <t>Company C</t>
  </si>
  <si>
    <t>Mariya Sergienko</t>
  </si>
  <si>
    <t>Company CC</t>
  </si>
  <si>
    <t>Simple</t>
  </si>
  <si>
    <t>Count</t>
  </si>
  <si>
    <t>Sum</t>
  </si>
  <si>
    <t>Average</t>
  </si>
  <si>
    <t>Michael Neipper</t>
  </si>
  <si>
    <t>Company D</t>
  </si>
  <si>
    <t>Metrics for Sales (F)</t>
  </si>
  <si>
    <t>Nancy Freehafer</t>
  </si>
  <si>
    <t>Company F</t>
  </si>
  <si>
    <t>Robert Zare</t>
  </si>
  <si>
    <t>Company H</t>
  </si>
  <si>
    <t>Company I</t>
  </si>
  <si>
    <t>Company J</t>
  </si>
  <si>
    <t>One Criteria</t>
  </si>
  <si>
    <t>Sales by Employee</t>
  </si>
  <si>
    <t>Countif</t>
  </si>
  <si>
    <t>Sumif</t>
  </si>
  <si>
    <t>Averageif</t>
  </si>
  <si>
    <t>Company K</t>
  </si>
  <si>
    <t>Employee:</t>
  </si>
  <si>
    <t>Company L</t>
  </si>
  <si>
    <t>Company Y</t>
  </si>
  <si>
    <t>Company Z</t>
  </si>
  <si>
    <t>Multiple Criteria</t>
  </si>
  <si>
    <t>Sales by Employee and Company</t>
  </si>
  <si>
    <t>Countifs</t>
  </si>
  <si>
    <t>Sumifs</t>
  </si>
  <si>
    <t>Averageifs</t>
  </si>
  <si>
    <t>Customer:</t>
  </si>
  <si>
    <t>Order ID</t>
  </si>
  <si>
    <t>Order Date</t>
  </si>
  <si>
    <t>Employee</t>
  </si>
  <si>
    <t>Customer Name</t>
  </si>
  <si>
    <t>Product Name</t>
  </si>
  <si>
    <t>Employee ID</t>
  </si>
  <si>
    <t>Product ID</t>
  </si>
  <si>
    <t>Customer ID</t>
  </si>
  <si>
    <t>Year</t>
  </si>
  <si>
    <t>Month</t>
  </si>
  <si>
    <t>Quarter</t>
  </si>
  <si>
    <t>MonthOfQuarter</t>
  </si>
  <si>
    <t>Month Name</t>
  </si>
  <si>
    <t>Category</t>
  </si>
  <si>
    <t>Product</t>
  </si>
  <si>
    <t>State/Province</t>
  </si>
  <si>
    <t>Country/Region</t>
  </si>
  <si>
    <t>Northwind Traders Chocolate</t>
  </si>
  <si>
    <t>April</t>
  </si>
  <si>
    <t>Candy</t>
  </si>
  <si>
    <t>WI</t>
  </si>
  <si>
    <t>USA</t>
  </si>
  <si>
    <t>Northwind Traders Dried Pears</t>
  </si>
  <si>
    <t>June</t>
  </si>
  <si>
    <t>Dried Fruit &amp; Nuts</t>
  </si>
  <si>
    <t>Northwind Traders Dried Apples</t>
  </si>
  <si>
    <t>Northwind Traders Coffee</t>
  </si>
  <si>
    <t>March</t>
  </si>
  <si>
    <t>Beverages</t>
  </si>
  <si>
    <t>TN</t>
  </si>
  <si>
    <t>Northwind Traders Olive Oil</t>
  </si>
  <si>
    <t>Oil</t>
  </si>
  <si>
    <t>FL</t>
  </si>
  <si>
    <t>Northwind Traders Clam Chowder</t>
  </si>
  <si>
    <t>Soups</t>
  </si>
  <si>
    <t>Northwind Traders Crab Meat</t>
  </si>
  <si>
    <t>Canned Meat</t>
  </si>
  <si>
    <t>Northwind Traders Boysenberry Spread</t>
  </si>
  <si>
    <t>Jams, Preserves</t>
  </si>
  <si>
    <t>Northwind Traders Beer</t>
  </si>
  <si>
    <t>January</t>
  </si>
  <si>
    <t>NV</t>
  </si>
  <si>
    <t>Northwind Traders Cajun Seasoning</t>
  </si>
  <si>
    <t>Condiments</t>
  </si>
  <si>
    <t>IL</t>
  </si>
  <si>
    <t>Northwind Traders Scones</t>
  </si>
  <si>
    <t>Baked Goods &amp; Mixes</t>
  </si>
  <si>
    <t>Northwind Traders Chocolate Biscuits Mix</t>
  </si>
  <si>
    <t>February</t>
  </si>
  <si>
    <t>NY</t>
  </si>
  <si>
    <t>Northwind Traders Dried Plums</t>
  </si>
  <si>
    <t>CO</t>
  </si>
  <si>
    <t>OR</t>
  </si>
  <si>
    <t>Northwind Traders Marmalade</t>
  </si>
  <si>
    <t>Northwind Traders Long Grain Rice</t>
  </si>
  <si>
    <t>Grains</t>
  </si>
  <si>
    <t>Northwind Traders Curry Sauce</t>
  </si>
  <si>
    <t>Sauces</t>
  </si>
  <si>
    <t>CA</t>
  </si>
  <si>
    <t>Northwind Traders Chai</t>
  </si>
  <si>
    <t>Northwind Traders Green Tea</t>
  </si>
  <si>
    <t>Northwind Traders Syrup</t>
  </si>
  <si>
    <t>Northwind Traders Almonds</t>
  </si>
  <si>
    <t>May</t>
  </si>
  <si>
    <t>Northwind Traders Mozzarella</t>
  </si>
  <si>
    <t>Dairy Products</t>
  </si>
  <si>
    <t>Northwind Traders Fruit Cocktail</t>
  </si>
  <si>
    <t>Canned Fruit &amp; Vegetables</t>
  </si>
  <si>
    <t>WA</t>
  </si>
  <si>
    <t>Northwind Traders Ravioli</t>
  </si>
  <si>
    <t>Pasta</t>
  </si>
  <si>
    <t>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</si>
</sst>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  <numFmt numFmtId="178" formatCode="&quot;$&quot;#,##0.00;\(&quot;$&quot;#,##0.00\)"/>
  </numFmts>
  <fonts count="28">
    <font>
      <sz val="11"/>
      <color theme="1"/>
      <name val="Calibri"/>
      <charset val="134"/>
      <scheme val="minor"/>
    </font>
    <font>
      <sz val="11"/>
      <color rgb="FFFFFF00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Webdings"/>
      <charset val="2"/>
    </font>
    <font>
      <b/>
      <sz val="11"/>
      <color rgb="FFFFFF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/>
      <top style="thin">
        <color indexed="8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theme="4" tint="0.399975585192419"/>
      </top>
      <bottom/>
      <diagonal/>
    </border>
    <border>
      <left style="medium">
        <color auto="1"/>
      </left>
      <right/>
      <top style="thin">
        <color theme="4" tint="0.399975585192419"/>
      </top>
      <bottom/>
      <diagonal/>
    </border>
    <border>
      <left style="medium">
        <color auto="1"/>
      </left>
      <right style="medium">
        <color auto="1"/>
      </right>
      <top style="thin">
        <color theme="4" tint="0.399975585192419"/>
      </top>
      <bottom/>
      <diagonal/>
    </border>
    <border>
      <left style="thin">
        <color theme="4" tint="0.399975585192419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theme="8" tint="0.599963377788629"/>
      </left>
      <right/>
      <top style="thick">
        <color theme="8" tint="0.599963377788629"/>
      </top>
      <bottom/>
      <diagonal/>
    </border>
    <border>
      <left style="thick">
        <color rgb="FFFFC000"/>
      </left>
      <right/>
      <top style="thick">
        <color rgb="FFFFC000"/>
      </top>
      <bottom/>
      <diagonal/>
    </border>
    <border>
      <left style="thick">
        <color rgb="FF3AAFC6"/>
      </left>
      <right style="thick">
        <color rgb="FF3AAFC6"/>
      </right>
      <top style="thick">
        <color rgb="FF3AAFC6"/>
      </top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/>
      <diagonal/>
    </border>
    <border>
      <left style="thick">
        <color theme="8" tint="0.599963377788629"/>
      </left>
      <right/>
      <top style="thin">
        <color theme="4" tint="0.399975585192419"/>
      </top>
      <bottom/>
      <diagonal/>
    </border>
    <border>
      <left style="thick">
        <color rgb="FFFFC000"/>
      </left>
      <right/>
      <top style="thin">
        <color theme="4" tint="0.399975585192419"/>
      </top>
      <bottom/>
      <diagonal/>
    </border>
    <border>
      <left style="thick">
        <color rgb="FF3AAFC6"/>
      </left>
      <right style="thick">
        <color rgb="FF3AAFC6"/>
      </right>
      <top style="thin">
        <color theme="4" tint="0.399975585192419"/>
      </top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ck">
        <color theme="8" tint="0.599963377788629"/>
      </left>
      <right/>
      <top style="thin">
        <color theme="4" tint="0.399975585192419"/>
      </top>
      <bottom style="thick">
        <color theme="8" tint="0.599963377788629"/>
      </bottom>
      <diagonal/>
    </border>
    <border>
      <left style="thick">
        <color rgb="FFFFC000"/>
      </left>
      <right/>
      <top style="thin">
        <color theme="4" tint="0.399975585192419"/>
      </top>
      <bottom style="thick">
        <color rgb="FFFFC000"/>
      </bottom>
      <diagonal/>
    </border>
    <border>
      <left style="thick">
        <color rgb="FF3AAFC6"/>
      </left>
      <right style="thick">
        <color rgb="FF3AAFC6"/>
      </right>
      <top style="thin">
        <color theme="4" tint="0.399975585192419"/>
      </top>
      <bottom style="thick">
        <color rgb="FF3AAFC6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43" fontId="0" fillId="0" borderId="0" applyFont="0" applyFill="0" applyBorder="0" applyAlignment="0" applyProtection="0"/>
    <xf numFmtId="44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9" fillId="9" borderId="4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8" applyNumberFormat="0" applyFill="0" applyAlignment="0" applyProtection="0">
      <alignment vertical="center"/>
    </xf>
    <xf numFmtId="0" fontId="14" fillId="0" borderId="48" applyNumberFormat="0" applyFill="0" applyAlignment="0" applyProtection="0">
      <alignment vertical="center"/>
    </xf>
    <xf numFmtId="0" fontId="15" fillId="0" borderId="4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50" applyNumberFormat="0" applyAlignment="0" applyProtection="0">
      <alignment vertical="center"/>
    </xf>
    <xf numFmtId="0" fontId="17" fillId="11" borderId="51" applyNumberFormat="0" applyAlignment="0" applyProtection="0">
      <alignment vertical="center"/>
    </xf>
    <xf numFmtId="0" fontId="18" fillId="11" borderId="50" applyNumberFormat="0" applyAlignment="0" applyProtection="0">
      <alignment vertical="center"/>
    </xf>
    <xf numFmtId="0" fontId="19" fillId="12" borderId="52" applyNumberFormat="0" applyAlignment="0" applyProtection="0">
      <alignment vertical="center"/>
    </xf>
    <xf numFmtId="0" fontId="20" fillId="0" borderId="53" applyNumberFormat="0" applyFill="0" applyAlignment="0" applyProtection="0">
      <alignment vertical="center"/>
    </xf>
    <xf numFmtId="0" fontId="21" fillId="0" borderId="54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7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177" fontId="0" fillId="0" borderId="0" xfId="1" applyNumberFormat="1" applyFont="1" applyAlignment="1">
      <alignment horizontal="center"/>
    </xf>
    <xf numFmtId="0" fontId="0" fillId="4" borderId="1" xfId="0" applyFill="1" applyBorder="1"/>
    <xf numFmtId="0" fontId="0" fillId="2" borderId="0" xfId="0" applyFill="1" applyAlignment="1">
      <alignment horizontal="center" wrapText="1"/>
    </xf>
    <xf numFmtId="0" fontId="0" fillId="4" borderId="2" xfId="0" applyFill="1" applyBorder="1"/>
    <xf numFmtId="0" fontId="2" fillId="5" borderId="3" xfId="47" applyFont="1" applyFill="1" applyBorder="1" applyAlignment="1">
      <alignment horizontal="center"/>
    </xf>
    <xf numFmtId="0" fontId="3" fillId="6" borderId="4" xfId="47" applyFont="1" applyFill="1" applyBorder="1" applyAlignment="1">
      <alignment horizontal="right"/>
    </xf>
    <xf numFmtId="58" fontId="3" fillId="6" borderId="4" xfId="47" applyNumberFormat="1" applyFont="1" applyFill="1" applyBorder="1" applyAlignment="1">
      <alignment horizontal="right"/>
    </xf>
    <xf numFmtId="0" fontId="3" fillId="6" borderId="4" xfId="47" applyFont="1" applyFill="1" applyBorder="1"/>
    <xf numFmtId="178" fontId="3" fillId="6" borderId="4" xfId="47" applyNumberFormat="1" applyFont="1" applyFill="1" applyBorder="1" applyAlignment="1">
      <alignment horizontal="right"/>
    </xf>
    <xf numFmtId="0" fontId="3" fillId="0" borderId="5" xfId="47" applyFont="1" applyBorder="1" applyAlignment="1">
      <alignment horizontal="right"/>
    </xf>
    <xf numFmtId="58" fontId="3" fillId="0" borderId="5" xfId="47" applyNumberFormat="1" applyFont="1" applyBorder="1" applyAlignment="1">
      <alignment horizontal="right"/>
    </xf>
    <xf numFmtId="0" fontId="3" fillId="0" borderId="5" xfId="47" applyFont="1" applyBorder="1"/>
    <xf numFmtId="178" fontId="3" fillId="0" borderId="5" xfId="47" applyNumberFormat="1" applyFont="1" applyBorder="1" applyAlignment="1">
      <alignment horizontal="right"/>
    </xf>
    <xf numFmtId="0" fontId="3" fillId="6" borderId="5" xfId="47" applyFont="1" applyFill="1" applyBorder="1" applyAlignment="1">
      <alignment horizontal="right"/>
    </xf>
    <xf numFmtId="58" fontId="3" fillId="6" borderId="5" xfId="47" applyNumberFormat="1" applyFont="1" applyFill="1" applyBorder="1" applyAlignment="1">
      <alignment horizontal="right"/>
    </xf>
    <xf numFmtId="0" fontId="3" fillId="6" borderId="5" xfId="47" applyFont="1" applyFill="1" applyBorder="1"/>
    <xf numFmtId="178" fontId="3" fillId="6" borderId="5" xfId="47" applyNumberFormat="1" applyFont="1" applyFill="1" applyBorder="1" applyAlignment="1">
      <alignment horizontal="right"/>
    </xf>
    <xf numFmtId="0" fontId="2" fillId="5" borderId="6" xfId="47" applyFont="1" applyFill="1" applyBorder="1" applyAlignment="1">
      <alignment horizontal="center"/>
    </xf>
    <xf numFmtId="0" fontId="3" fillId="6" borderId="7" xfId="47" applyFont="1" applyFill="1" applyBorder="1"/>
    <xf numFmtId="0" fontId="3" fillId="0" borderId="8" xfId="47" applyFont="1" applyBorder="1"/>
    <xf numFmtId="0" fontId="3" fillId="6" borderId="8" xfId="47" applyFont="1" applyFill="1" applyBorder="1"/>
    <xf numFmtId="0" fontId="3" fillId="6" borderId="9" xfId="47" applyFont="1" applyFill="1" applyBorder="1" applyAlignment="1">
      <alignment horizontal="right"/>
    </xf>
    <xf numFmtId="58" fontId="3" fillId="6" borderId="9" xfId="47" applyNumberFormat="1" applyFont="1" applyFill="1" applyBorder="1" applyAlignment="1">
      <alignment horizontal="right"/>
    </xf>
    <xf numFmtId="0" fontId="3" fillId="6" borderId="9" xfId="47" applyFont="1" applyFill="1" applyBorder="1"/>
    <xf numFmtId="178" fontId="3" fillId="6" borderId="9" xfId="47" applyNumberFormat="1" applyFont="1" applyFill="1" applyBorder="1" applyAlignment="1">
      <alignment horizontal="right"/>
    </xf>
    <xf numFmtId="0" fontId="3" fillId="6" borderId="10" xfId="47" applyFont="1" applyFill="1" applyBorder="1"/>
    <xf numFmtId="0" fontId="4" fillId="0" borderId="0" xfId="0" applyFont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0" xfId="0" applyFont="1" applyAlignment="1">
      <alignment horizontal="right"/>
    </xf>
    <xf numFmtId="9" fontId="0" fillId="0" borderId="14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5" fillId="7" borderId="17" xfId="0" applyFont="1" applyFill="1" applyBorder="1"/>
    <xf numFmtId="0" fontId="5" fillId="7" borderId="18" xfId="0" applyFont="1" applyFill="1" applyBorder="1" applyAlignment="1">
      <alignment horizontal="center"/>
    </xf>
    <xf numFmtId="0" fontId="5" fillId="7" borderId="18" xfId="0" applyFont="1" applyFill="1" applyBorder="1"/>
    <xf numFmtId="0" fontId="5" fillId="7" borderId="19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/>
    </xf>
    <xf numFmtId="0" fontId="0" fillId="8" borderId="22" xfId="0" applyFill="1" applyBorder="1"/>
    <xf numFmtId="0" fontId="0" fillId="8" borderId="23" xfId="0" applyFill="1" applyBorder="1"/>
    <xf numFmtId="8" fontId="0" fillId="8" borderId="23" xfId="0" applyNumberFormat="1" applyFill="1" applyBorder="1"/>
    <xf numFmtId="8" fontId="0" fillId="8" borderId="24" xfId="0" applyNumberFormat="1" applyFill="1" applyBorder="1"/>
    <xf numFmtId="8" fontId="0" fillId="8" borderId="25" xfId="0" applyNumberFormat="1" applyFill="1" applyBorder="1"/>
    <xf numFmtId="0" fontId="0" fillId="8" borderId="26" xfId="0" applyFill="1" applyBorder="1"/>
    <xf numFmtId="0" fontId="0" fillId="0" borderId="27" xfId="0" applyBorder="1"/>
    <xf numFmtId="0" fontId="0" fillId="0" borderId="28" xfId="0" applyBorder="1"/>
    <xf numFmtId="8" fontId="0" fillId="0" borderId="28" xfId="0" applyNumberFormat="1" applyBorder="1"/>
    <xf numFmtId="8" fontId="0" fillId="0" borderId="29" xfId="0" applyNumberFormat="1" applyBorder="1"/>
    <xf numFmtId="0" fontId="0" fillId="0" borderId="30" xfId="0" applyBorder="1"/>
    <xf numFmtId="0" fontId="0" fillId="0" borderId="31" xfId="0" applyBorder="1"/>
    <xf numFmtId="0" fontId="0" fillId="8" borderId="27" xfId="0" applyFill="1" applyBorder="1"/>
    <xf numFmtId="0" fontId="0" fillId="8" borderId="28" xfId="0" applyFill="1" applyBorder="1"/>
    <xf numFmtId="8" fontId="0" fillId="8" borderId="28" xfId="0" applyNumberFormat="1" applyFill="1" applyBorder="1"/>
    <xf numFmtId="8" fontId="0" fillId="8" borderId="29" xfId="0" applyNumberFormat="1" applyFill="1" applyBorder="1"/>
    <xf numFmtId="0" fontId="0" fillId="8" borderId="30" xfId="0" applyFill="1" applyBorder="1"/>
    <xf numFmtId="0" fontId="0" fillId="8" borderId="31" xfId="0" applyFill="1" applyBorder="1"/>
    <xf numFmtId="0" fontId="0" fillId="0" borderId="32" xfId="0" applyBorder="1"/>
    <xf numFmtId="0" fontId="0" fillId="0" borderId="33" xfId="0" applyBorder="1"/>
    <xf numFmtId="0" fontId="4" fillId="0" borderId="33" xfId="0" applyFont="1" applyBorder="1"/>
    <xf numFmtId="8" fontId="4" fillId="0" borderId="33" xfId="0" applyNumberFormat="1" applyFont="1" applyBorder="1"/>
    <xf numFmtId="8" fontId="4" fillId="0" borderId="34" xfId="0" applyNumberFormat="1" applyFont="1" applyBorder="1"/>
    <xf numFmtId="0" fontId="0" fillId="0" borderId="35" xfId="0" applyBorder="1"/>
    <xf numFmtId="0" fontId="0" fillId="0" borderId="36" xfId="0" applyBorder="1"/>
    <xf numFmtId="0" fontId="6" fillId="0" borderId="0" xfId="0" applyFont="1"/>
    <xf numFmtId="8" fontId="0" fillId="8" borderId="26" xfId="0" applyNumberFormat="1" applyFill="1" applyBorder="1"/>
    <xf numFmtId="8" fontId="0" fillId="8" borderId="31" xfId="0" applyNumberFormat="1" applyFill="1" applyBorder="1"/>
    <xf numFmtId="8" fontId="0" fillId="0" borderId="0" xfId="0" applyNumberFormat="1"/>
    <xf numFmtId="0" fontId="5" fillId="7" borderId="17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4" fillId="7" borderId="37" xfId="0" applyFont="1" applyFill="1" applyBorder="1"/>
    <xf numFmtId="0" fontId="4" fillId="7" borderId="38" xfId="0" applyFont="1" applyFill="1" applyBorder="1"/>
    <xf numFmtId="0" fontId="4" fillId="7" borderId="39" xfId="0" applyFont="1" applyFill="1" applyBorder="1"/>
    <xf numFmtId="0" fontId="1" fillId="3" borderId="17" xfId="0" applyFont="1" applyFill="1" applyBorder="1"/>
    <xf numFmtId="0" fontId="7" fillId="3" borderId="23" xfId="0" applyFont="1" applyFill="1" applyBorder="1"/>
    <xf numFmtId="0" fontId="7" fillId="3" borderId="40" xfId="0" applyFont="1" applyFill="1" applyBorder="1"/>
    <xf numFmtId="0" fontId="7" fillId="3" borderId="41" xfId="0" applyFont="1" applyFill="1" applyBorder="1"/>
    <xf numFmtId="0" fontId="8" fillId="0" borderId="42" xfId="0" applyFont="1" applyBorder="1"/>
    <xf numFmtId="10" fontId="8" fillId="0" borderId="42" xfId="0" applyNumberFormat="1" applyFont="1" applyBorder="1"/>
    <xf numFmtId="10" fontId="8" fillId="0" borderId="42" xfId="3" applyNumberFormat="1" applyFont="1" applyFill="1" applyBorder="1"/>
    <xf numFmtId="0" fontId="1" fillId="3" borderId="41" xfId="0" applyFont="1" applyFill="1" applyBorder="1"/>
    <xf numFmtId="0" fontId="1" fillId="3" borderId="0" xfId="0" applyFont="1" applyFill="1"/>
    <xf numFmtId="0" fontId="1" fillId="3" borderId="43" xfId="0" applyFont="1" applyFill="1" applyBorder="1"/>
    <xf numFmtId="0" fontId="7" fillId="3" borderId="44" xfId="0" applyFont="1" applyFill="1" applyBorder="1"/>
    <xf numFmtId="0" fontId="1" fillId="3" borderId="45" xfId="0" applyFont="1" applyFill="1" applyBorder="1"/>
    <xf numFmtId="7" fontId="8" fillId="2" borderId="46" xfId="0" applyNumberFormat="1" applyFont="1" applyFill="1" applyBorder="1"/>
    <xf numFmtId="0" fontId="0" fillId="0" borderId="0" xfId="0" applyNumberFormat="1"/>
  </cellXfs>
  <cellStyles count="4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Note" xfId="6" builtinId="10"/>
    <cellStyle name="Warning Text" xfId="7" builtinId="11"/>
    <cellStyle name="Title" xfId="8" builtinId="15"/>
    <cellStyle name="CExplanatory Text" xfId="9" builtinId="53"/>
    <cellStyle name="Heading 1" xfId="10" builtinId="16"/>
    <cellStyle name="Heading 2" xfId="11" builtinId="17"/>
    <cellStyle name="Heading 3" xfId="12" builtinId="18"/>
    <cellStyle name="Heading 4" xfId="13" builtinId="19"/>
    <cellStyle name="Input" xfId="14" builtinId="20"/>
    <cellStyle name="Output" xfId="15" builtinId="21"/>
    <cellStyle name="Calculation" xfId="16" builtinId="22"/>
    <cellStyle name="Check Cell" xfId="17" builtinId="23"/>
    <cellStyle name="Linked Cell" xfId="18" builtinId="24"/>
    <cellStyle name="Total" xfId="19" builtinId="25"/>
    <cellStyle name="Good" xfId="20" builtinId="26"/>
    <cellStyle name="Bad" xfId="21" builtinId="27"/>
    <cellStyle name="Neutral" xfId="22" builtinId="28"/>
    <cellStyle name="Accent1" xfId="23" builtinId="29"/>
    <cellStyle name="20% - Accent1" xfId="24" builtinId="30"/>
    <cellStyle name="40% - Accent1" xfId="25" builtinId="31"/>
    <cellStyle name="60% - Accent1" xfId="26" builtinId="32"/>
    <cellStyle name="Accent2" xfId="27" builtinId="33"/>
    <cellStyle name="20% - Accent2" xfId="28" builtinId="34"/>
    <cellStyle name="40% - Accent2" xfId="29" builtinId="35"/>
    <cellStyle name="60% - Accent2" xfId="30" builtinId="36"/>
    <cellStyle name="Accent3" xfId="31" builtinId="37"/>
    <cellStyle name="20% - Accent3" xfId="32" builtinId="38"/>
    <cellStyle name="40% - Accent3" xfId="33" builtinId="39"/>
    <cellStyle name="60% - Accent3" xfId="34" builtinId="40"/>
    <cellStyle name="Accent4" xfId="35" builtinId="41"/>
    <cellStyle name="20% - Accent4" xfId="36" builtinId="42"/>
    <cellStyle name="40% - Accent4" xfId="37" builtinId="43"/>
    <cellStyle name="60% - Accent4" xfId="38" builtinId="44"/>
    <cellStyle name="Accent5" xfId="39" builtinId="45"/>
    <cellStyle name="20% - Accent5" xfId="40" builtinId="46"/>
    <cellStyle name="40% - Accent5" xfId="41" builtinId="47"/>
    <cellStyle name="60% - Accent5" xfId="42" builtinId="48"/>
    <cellStyle name="Accent6" xfId="43" builtinId="49"/>
    <cellStyle name="20% - Accent6" xfId="44" builtinId="50"/>
    <cellStyle name="40% - Accent6" xfId="45" builtinId="51"/>
    <cellStyle name="60% - Accent6" xfId="46" builtinId="52"/>
    <cellStyle name="Normal_Sheet1" xfId="47"/>
  </cellStyles>
  <tableStyles count="0" defaultTableStyle="TableStyleMedium9" defaultPivotStyle="PivotStyleLight16"/>
  <colors>
    <mruColors>
      <color rgb="003AAFC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266700</xdr:colOff>
      <xdr:row>0</xdr:row>
      <xdr:rowOff>155713</xdr:rowOff>
    </xdr:from>
    <xdr:to>
      <xdr:col>3</xdr:col>
      <xdr:colOff>354345</xdr:colOff>
      <xdr:row>3</xdr:row>
      <xdr:rowOff>35136</xdr:rowOff>
    </xdr:to>
    <xdr:sp>
      <xdr:nvSpPr>
        <xdr:cNvPr id="2" name="Rounded Rectangle 1"/>
        <xdr:cNvSpPr/>
      </xdr:nvSpPr>
      <xdr:spPr>
        <a:xfrm>
          <a:off x="266700" y="155575"/>
          <a:ext cx="3230245" cy="45085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18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Trebuchet MS" panose="020B0603020202020204" pitchFamily="34" charset="0"/>
            </a:rPr>
            <a:t>Formula</a:t>
          </a:r>
          <a:r>
            <a:rPr lang="en-US" sz="1800" b="1" cap="all" spc="0" baseline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Trebuchet MS" panose="020B0603020202020204" pitchFamily="34" charset="0"/>
            </a:rPr>
            <a:t> Basics</a:t>
          </a:r>
          <a:endParaRPr lang="en-US" sz="18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Trebuchet MS" panose="020B0603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104775</xdr:colOff>
      <xdr:row>0</xdr:row>
      <xdr:rowOff>152400</xdr:rowOff>
    </xdr:from>
    <xdr:to>
      <xdr:col>3</xdr:col>
      <xdr:colOff>49545</xdr:colOff>
      <xdr:row>3</xdr:row>
      <xdr:rowOff>31823</xdr:rowOff>
    </xdr:to>
    <xdr:sp>
      <xdr:nvSpPr>
        <xdr:cNvPr id="2" name="Rounded Rectangle 1"/>
        <xdr:cNvSpPr/>
      </xdr:nvSpPr>
      <xdr:spPr>
        <a:xfrm>
          <a:off x="104775" y="152400"/>
          <a:ext cx="3834130" cy="45085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18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Trebuchet MS" panose="020B0603020202020204" pitchFamily="34" charset="0"/>
            </a:rPr>
            <a:t>Function builder</a:t>
          </a:r>
          <a:endParaRPr lang="en-US" sz="18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Trebuchet MS" panose="020B0603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266700</xdr:colOff>
      <xdr:row>0</xdr:row>
      <xdr:rowOff>155713</xdr:rowOff>
    </xdr:from>
    <xdr:to>
      <xdr:col>4</xdr:col>
      <xdr:colOff>354345</xdr:colOff>
      <xdr:row>3</xdr:row>
      <xdr:rowOff>35136</xdr:rowOff>
    </xdr:to>
    <xdr:sp>
      <xdr:nvSpPr>
        <xdr:cNvPr id="2" name="Rounded Rectangle 1"/>
        <xdr:cNvSpPr/>
      </xdr:nvSpPr>
      <xdr:spPr>
        <a:xfrm>
          <a:off x="857885" y="155575"/>
          <a:ext cx="3230245" cy="46037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18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Trebuchet MS" panose="020B0603020202020204" pitchFamily="34" charset="0"/>
            </a:rPr>
            <a:t>Absolute References</a:t>
          </a:r>
          <a:endParaRPr lang="en-US" sz="18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Trebuchet MS" panose="020B0603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266700</xdr:colOff>
      <xdr:row>0</xdr:row>
      <xdr:rowOff>155713</xdr:rowOff>
    </xdr:from>
    <xdr:to>
      <xdr:col>3</xdr:col>
      <xdr:colOff>354345</xdr:colOff>
      <xdr:row>3</xdr:row>
      <xdr:rowOff>35136</xdr:rowOff>
    </xdr:to>
    <xdr:sp>
      <xdr:nvSpPr>
        <xdr:cNvPr id="2" name="Rounded Rectangle 1"/>
        <xdr:cNvSpPr/>
      </xdr:nvSpPr>
      <xdr:spPr>
        <a:xfrm>
          <a:off x="266700" y="155575"/>
          <a:ext cx="3230245" cy="45085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18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Trebuchet MS" panose="020B0603020202020204" pitchFamily="34" charset="0"/>
            </a:rPr>
            <a:t>Named Ranges</a:t>
          </a:r>
          <a:endParaRPr lang="en-US" sz="18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Trebuchet MS" panose="020B0603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542924</xdr:colOff>
      <xdr:row>0</xdr:row>
      <xdr:rowOff>95250</xdr:rowOff>
    </xdr:from>
    <xdr:to>
      <xdr:col>2</xdr:col>
      <xdr:colOff>486832</xdr:colOff>
      <xdr:row>2</xdr:row>
      <xdr:rowOff>169935</xdr:rowOff>
    </xdr:to>
    <xdr:sp>
      <xdr:nvSpPr>
        <xdr:cNvPr id="2" name="Rounded Rectangle 1"/>
        <xdr:cNvSpPr/>
      </xdr:nvSpPr>
      <xdr:spPr>
        <a:xfrm>
          <a:off x="542290" y="95250"/>
          <a:ext cx="3131185" cy="455295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1800" b="1" cap="all" spc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Trebuchet MS" panose="020B0603020202020204" pitchFamily="34" charset="0"/>
            </a:rPr>
            <a:t>Aggregation Formulas</a:t>
          </a:r>
          <a:endParaRPr lang="en-US" sz="18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Trebuchet MS" panose="020B0603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15"/>
  <sheetViews>
    <sheetView zoomScale="80" zoomScaleNormal="80" workbookViewId="0">
      <selection activeCell="A18" sqref="A18"/>
    </sheetView>
  </sheetViews>
  <sheetFormatPr defaultColWidth="8.86666666666667" defaultRowHeight="15" outlineLevelCol="4"/>
  <cols>
    <col min="1" max="1" width="16.2666666666667" customWidth="1"/>
    <col min="2" max="2" width="15.8666666666667" customWidth="1"/>
    <col min="3" max="3" width="15" customWidth="1"/>
    <col min="5" max="5" width="14.4" customWidth="1"/>
  </cols>
  <sheetData>
    <row r="5" spans="1:1">
      <c r="A5" s="30" t="s">
        <v>0</v>
      </c>
    </row>
    <row r="6" ht="15.75"/>
    <row r="7" ht="15.75" spans="1:5">
      <c r="A7" s="75" t="s">
        <v>1</v>
      </c>
      <c r="B7" s="76" t="s">
        <v>2</v>
      </c>
      <c r="C7" s="76" t="s">
        <v>3</v>
      </c>
      <c r="D7" s="76" t="s">
        <v>4</v>
      </c>
      <c r="E7" s="77" t="s">
        <v>5</v>
      </c>
    </row>
    <row r="8" spans="1:5">
      <c r="A8" t="s">
        <v>6</v>
      </c>
      <c r="B8">
        <v>10</v>
      </c>
      <c r="C8">
        <v>15</v>
      </c>
      <c r="D8" s="91">
        <f>SUM(B8:C8)</f>
        <v>25</v>
      </c>
      <c r="E8">
        <f>AVERAGE(B8:C8)</f>
        <v>12.5</v>
      </c>
    </row>
    <row r="9" spans="1:5">
      <c r="A9" t="s">
        <v>7</v>
      </c>
      <c r="B9">
        <v>20</v>
      </c>
      <c r="C9">
        <v>25</v>
      </c>
      <c r="D9" s="91">
        <f t="shared" ref="D9:D15" si="0">SUM(B9:C9)</f>
        <v>45</v>
      </c>
      <c r="E9">
        <f t="shared" ref="E9:E15" si="1">AVERAGE(B9:C9)</f>
        <v>22.5</v>
      </c>
    </row>
    <row r="10" spans="1:5">
      <c r="A10" t="s">
        <v>8</v>
      </c>
      <c r="B10">
        <v>30</v>
      </c>
      <c r="C10">
        <v>35</v>
      </c>
      <c r="D10" s="91">
        <f t="shared" si="0"/>
        <v>65</v>
      </c>
      <c r="E10">
        <f t="shared" si="1"/>
        <v>32.5</v>
      </c>
    </row>
    <row r="11" spans="1:5">
      <c r="A11" t="s">
        <v>9</v>
      </c>
      <c r="B11">
        <v>40</v>
      </c>
      <c r="C11">
        <v>45</v>
      </c>
      <c r="D11" s="91">
        <f t="shared" si="0"/>
        <v>85</v>
      </c>
      <c r="E11">
        <f t="shared" si="1"/>
        <v>42.5</v>
      </c>
    </row>
    <row r="12" spans="1:5">
      <c r="A12" t="s">
        <v>10</v>
      </c>
      <c r="B12">
        <v>50</v>
      </c>
      <c r="C12">
        <v>55</v>
      </c>
      <c r="D12" s="91">
        <f t="shared" si="0"/>
        <v>105</v>
      </c>
      <c r="E12">
        <f t="shared" si="1"/>
        <v>52.5</v>
      </c>
    </row>
    <row r="13" spans="1:5">
      <c r="A13" t="s">
        <v>11</v>
      </c>
      <c r="B13">
        <v>60</v>
      </c>
      <c r="C13">
        <v>65</v>
      </c>
      <c r="D13" s="91">
        <f t="shared" si="0"/>
        <v>125</v>
      </c>
      <c r="E13">
        <f t="shared" si="1"/>
        <v>62.5</v>
      </c>
    </row>
    <row r="14" spans="1:5">
      <c r="A14" t="s">
        <v>12</v>
      </c>
      <c r="B14">
        <v>70</v>
      </c>
      <c r="C14">
        <v>75</v>
      </c>
      <c r="D14" s="91">
        <f t="shared" si="0"/>
        <v>145</v>
      </c>
      <c r="E14">
        <f t="shared" si="1"/>
        <v>72.5</v>
      </c>
    </row>
    <row r="15" spans="1:5">
      <c r="A15" s="34" t="s">
        <v>13</v>
      </c>
      <c r="D15" s="91">
        <f>SUM(D8:D14)</f>
        <v>595</v>
      </c>
      <c r="E15" s="91">
        <f>SUM(E8:E14)</f>
        <v>297.5</v>
      </c>
    </row>
  </sheetData>
  <pageMargins left="0.7" right="0.7" top="0.75" bottom="0.75" header="0.3" footer="0.3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H34"/>
  <sheetViews>
    <sheetView zoomScale="80" zoomScaleNormal="80" zoomScalePageLayoutView="150" workbookViewId="0">
      <selection activeCell="A35" sqref="A35"/>
    </sheetView>
  </sheetViews>
  <sheetFormatPr defaultColWidth="8.86666666666667" defaultRowHeight="15" outlineLevelCol="7"/>
  <cols>
    <col min="1" max="1" width="22.8666666666667" customWidth="1"/>
    <col min="2" max="3" width="17.7333333333333" customWidth="1"/>
    <col min="4" max="4" width="16.3333333333333" customWidth="1"/>
    <col min="5" max="5" width="16.4" customWidth="1"/>
    <col min="6" max="6" width="10.1333333333333" customWidth="1"/>
    <col min="7" max="7" width="12.1333333333333" customWidth="1"/>
    <col min="8" max="8" width="10.1333333333333" customWidth="1"/>
    <col min="9" max="9" width="11.8666666666667" customWidth="1"/>
    <col min="10" max="10" width="5" customWidth="1"/>
    <col min="11" max="11" width="6.86666666666667" customWidth="1"/>
    <col min="12" max="12" width="7.86666666666667" customWidth="1"/>
    <col min="13" max="13" width="16" customWidth="1"/>
    <col min="14" max="14" width="12.4" customWidth="1"/>
    <col min="15" max="15" width="25" customWidth="1"/>
    <col min="16" max="16" width="38.7333333333333" customWidth="1"/>
    <col min="17" max="17" width="12.2666666666667" customWidth="1"/>
    <col min="18" max="18" width="14.2666666666667" customWidth="1"/>
    <col min="19" max="19" width="15.1333333333333" customWidth="1"/>
  </cols>
  <sheetData>
    <row r="6" spans="1:1">
      <c r="A6" s="30" t="s">
        <v>0</v>
      </c>
    </row>
    <row r="7" ht="15.75"/>
    <row r="8" ht="15.75" spans="1:5">
      <c r="A8" s="75" t="s">
        <v>1</v>
      </c>
      <c r="B8" s="76" t="s">
        <v>2</v>
      </c>
      <c r="C8" s="76" t="s">
        <v>3</v>
      </c>
      <c r="D8" s="76" t="s">
        <v>4</v>
      </c>
      <c r="E8" s="77" t="s">
        <v>5</v>
      </c>
    </row>
    <row r="9" spans="1:3">
      <c r="A9" t="s">
        <v>6</v>
      </c>
      <c r="B9">
        <v>10</v>
      </c>
      <c r="C9">
        <v>15</v>
      </c>
    </row>
    <row r="10" spans="1:3">
      <c r="A10" t="s">
        <v>7</v>
      </c>
      <c r="B10">
        <v>20</v>
      </c>
      <c r="C10">
        <v>25</v>
      </c>
    </row>
    <row r="11" spans="1:3">
      <c r="A11" t="s">
        <v>8</v>
      </c>
      <c r="B11">
        <v>30</v>
      </c>
      <c r="C11">
        <v>35</v>
      </c>
    </row>
    <row r="12" spans="1:3">
      <c r="A12" t="s">
        <v>9</v>
      </c>
      <c r="B12">
        <v>40</v>
      </c>
      <c r="C12">
        <v>45</v>
      </c>
    </row>
    <row r="13" spans="1:3">
      <c r="A13" t="s">
        <v>10</v>
      </c>
      <c r="B13">
        <v>50</v>
      </c>
      <c r="C13">
        <v>55</v>
      </c>
    </row>
    <row r="14" spans="1:3">
      <c r="A14" t="s">
        <v>11</v>
      </c>
      <c r="B14">
        <v>60</v>
      </c>
      <c r="C14">
        <v>65</v>
      </c>
    </row>
    <row r="15" spans="1:3">
      <c r="A15" t="s">
        <v>12</v>
      </c>
      <c r="B15">
        <v>70</v>
      </c>
      <c r="C15">
        <v>75</v>
      </c>
    </row>
    <row r="16" spans="1:1">
      <c r="A16" s="34"/>
    </row>
    <row r="18" spans="1:1">
      <c r="A18" s="2" t="s">
        <v>14</v>
      </c>
    </row>
    <row r="19" spans="2:4">
      <c r="B19" t="s">
        <v>15</v>
      </c>
      <c r="D19" t="str">
        <f>LEFT(C19,2)</f>
        <v/>
      </c>
    </row>
    <row r="20" spans="2:8">
      <c r="B20" t="s">
        <v>16</v>
      </c>
      <c r="E20" t="s">
        <v>17</v>
      </c>
      <c r="F20" t="s">
        <v>18</v>
      </c>
      <c r="G20" t="s">
        <v>19</v>
      </c>
      <c r="H20" t="s">
        <v>20</v>
      </c>
    </row>
    <row r="27" spans="1:2">
      <c r="A27" s="2" t="s">
        <v>21</v>
      </c>
      <c r="B27" t="s">
        <v>22</v>
      </c>
    </row>
    <row r="28" ht="15.75"/>
    <row r="29" spans="2:4">
      <c r="B29" s="78"/>
      <c r="C29" s="79" t="s">
        <v>23</v>
      </c>
      <c r="D29" s="80" t="s">
        <v>24</v>
      </c>
    </row>
    <row r="30" spans="2:4">
      <c r="B30" s="81" t="s">
        <v>25</v>
      </c>
      <c r="C30" s="82">
        <v>170000</v>
      </c>
      <c r="D30" s="82">
        <f>C30</f>
        <v>170000</v>
      </c>
    </row>
    <row r="31" spans="2:4">
      <c r="B31" s="81" t="s">
        <v>26</v>
      </c>
      <c r="C31" s="83">
        <v>0.055</v>
      </c>
      <c r="D31" s="84">
        <f>C31/12</f>
        <v>0.00458333333333333</v>
      </c>
    </row>
    <row r="32" spans="2:4">
      <c r="B32" s="81" t="s">
        <v>27</v>
      </c>
      <c r="C32" s="82">
        <v>30</v>
      </c>
      <c r="D32" s="82">
        <f>C32*12</f>
        <v>360</v>
      </c>
    </row>
    <row r="33" spans="2:4">
      <c r="B33" s="85"/>
      <c r="C33" s="86"/>
      <c r="D33" s="87"/>
    </row>
    <row r="34" ht="15.75" spans="2:4">
      <c r="B34" s="88" t="s">
        <v>28</v>
      </c>
      <c r="C34" s="89"/>
      <c r="D34" s="90">
        <f>PMT(D31,D32,D30)</f>
        <v>-965.241302289905</v>
      </c>
    </row>
  </sheetData>
  <pageMargins left="0.7" right="0.7" top="0.75" bottom="0.75" header="0.3" footer="0.3"/>
  <pageSetup paperSize="1" orientation="portrait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53"/>
  <sheetViews>
    <sheetView showGridLines="0" tabSelected="1" zoomScale="64" zoomScaleNormal="64" topLeftCell="A7" workbookViewId="0">
      <selection activeCell="I24" sqref="I24"/>
    </sheetView>
  </sheetViews>
  <sheetFormatPr defaultColWidth="8.86666666666667" defaultRowHeight="15" outlineLevelCol="7"/>
  <cols>
    <col min="2" max="2" width="16.2666666666667" customWidth="1"/>
    <col min="3" max="3" width="15.8666666666667" customWidth="1"/>
    <col min="4" max="4" width="15" customWidth="1"/>
    <col min="5" max="5" width="12.4" customWidth="1"/>
    <col min="6" max="6" width="22.2" customWidth="1"/>
    <col min="7" max="7" width="15.4" customWidth="1"/>
    <col min="8" max="8" width="15.7333333333333" customWidth="1"/>
  </cols>
  <sheetData>
    <row r="2" ht="15.75" spans="8:8">
      <c r="H2" s="69"/>
    </row>
    <row r="6" spans="2:2">
      <c r="B6" s="2" t="s">
        <v>29</v>
      </c>
    </row>
    <row r="7" ht="15.75"/>
    <row r="8" spans="2:8">
      <c r="B8" s="30" t="s">
        <v>30</v>
      </c>
      <c r="F8" s="31" t="s">
        <v>31</v>
      </c>
      <c r="G8" s="32"/>
      <c r="H8" s="33"/>
    </row>
    <row r="9" ht="15.75" spans="5:8">
      <c r="E9" s="34"/>
      <c r="F9" s="35">
        <v>0.08</v>
      </c>
      <c r="G9" s="36">
        <v>0.15</v>
      </c>
      <c r="H9" s="37">
        <v>0.25</v>
      </c>
    </row>
    <row r="10" ht="15.75" spans="2:8">
      <c r="B10" s="38" t="s">
        <v>1</v>
      </c>
      <c r="C10" s="39" t="s">
        <v>32</v>
      </c>
      <c r="D10" s="40" t="s">
        <v>25</v>
      </c>
      <c r="E10" s="40" t="s">
        <v>4</v>
      </c>
      <c r="F10" s="41" t="s">
        <v>33</v>
      </c>
      <c r="G10" s="42" t="s">
        <v>34</v>
      </c>
      <c r="H10" s="43" t="s">
        <v>35</v>
      </c>
    </row>
    <row r="11" ht="15.75" spans="2:8">
      <c r="B11" s="44" t="s">
        <v>36</v>
      </c>
      <c r="C11" s="45">
        <v>10</v>
      </c>
      <c r="D11" s="46">
        <v>15</v>
      </c>
      <c r="E11" s="46">
        <f>C11*D11</f>
        <v>150</v>
      </c>
      <c r="F11" s="47">
        <f>$E11*F$9</f>
        <v>12</v>
      </c>
      <c r="G11" s="48">
        <f t="shared" ref="G11:H17" si="0">$E11*G$9</f>
        <v>22.5</v>
      </c>
      <c r="H11" s="70">
        <f t="shared" si="0"/>
        <v>37.5</v>
      </c>
    </row>
    <row r="12" spans="2:8">
      <c r="B12" s="50" t="s">
        <v>37</v>
      </c>
      <c r="C12" s="51">
        <v>20</v>
      </c>
      <c r="D12" s="52">
        <v>25</v>
      </c>
      <c r="E12" s="52">
        <f t="shared" ref="E12:E17" si="1">C12*D12</f>
        <v>500</v>
      </c>
      <c r="F12" s="53">
        <f t="shared" ref="F12:F17" si="2">$E12*F$9</f>
        <v>40</v>
      </c>
      <c r="G12" s="54">
        <f t="shared" si="0"/>
        <v>75</v>
      </c>
      <c r="H12" s="55">
        <f t="shared" si="0"/>
        <v>125</v>
      </c>
    </row>
    <row r="13" spans="2:8">
      <c r="B13" s="56" t="s">
        <v>38</v>
      </c>
      <c r="C13" s="57">
        <v>30</v>
      </c>
      <c r="D13" s="58">
        <v>35</v>
      </c>
      <c r="E13" s="58">
        <f t="shared" si="1"/>
        <v>1050</v>
      </c>
      <c r="F13" s="59">
        <f t="shared" si="2"/>
        <v>84</v>
      </c>
      <c r="G13" s="60">
        <f t="shared" si="0"/>
        <v>157.5</v>
      </c>
      <c r="H13" s="61">
        <f t="shared" si="0"/>
        <v>262.5</v>
      </c>
    </row>
    <row r="14" spans="2:8">
      <c r="B14" s="50" t="s">
        <v>39</v>
      </c>
      <c r="C14" s="51">
        <v>40</v>
      </c>
      <c r="D14" s="52">
        <v>45</v>
      </c>
      <c r="E14" s="52">
        <f t="shared" si="1"/>
        <v>1800</v>
      </c>
      <c r="F14" s="53">
        <f t="shared" si="2"/>
        <v>144</v>
      </c>
      <c r="G14" s="54">
        <f t="shared" si="0"/>
        <v>270</v>
      </c>
      <c r="H14" s="55">
        <f t="shared" si="0"/>
        <v>450</v>
      </c>
    </row>
    <row r="15" spans="2:8">
      <c r="B15" s="56" t="s">
        <v>40</v>
      </c>
      <c r="C15" s="57">
        <v>50</v>
      </c>
      <c r="D15" s="58">
        <v>55</v>
      </c>
      <c r="E15" s="58">
        <f t="shared" si="1"/>
        <v>2750</v>
      </c>
      <c r="F15" s="59">
        <f t="shared" si="2"/>
        <v>220</v>
      </c>
      <c r="G15" s="60">
        <f t="shared" si="0"/>
        <v>412.5</v>
      </c>
      <c r="H15" s="71">
        <f t="shared" si="0"/>
        <v>687.5</v>
      </c>
    </row>
    <row r="16" spans="2:8">
      <c r="B16" s="50" t="s">
        <v>41</v>
      </c>
      <c r="C16" s="51">
        <v>60</v>
      </c>
      <c r="D16" s="52">
        <v>65</v>
      </c>
      <c r="E16" s="52">
        <f t="shared" si="1"/>
        <v>3900</v>
      </c>
      <c r="F16" s="53">
        <f t="shared" si="2"/>
        <v>312</v>
      </c>
      <c r="G16" s="54">
        <f t="shared" si="0"/>
        <v>585</v>
      </c>
      <c r="H16" s="55">
        <f t="shared" si="0"/>
        <v>975</v>
      </c>
    </row>
    <row r="17" spans="2:8">
      <c r="B17" s="56" t="s">
        <v>42</v>
      </c>
      <c r="C17" s="57">
        <v>70</v>
      </c>
      <c r="D17" s="58">
        <v>75</v>
      </c>
      <c r="E17" s="58">
        <f t="shared" si="1"/>
        <v>5250</v>
      </c>
      <c r="F17" s="59">
        <f t="shared" si="2"/>
        <v>420</v>
      </c>
      <c r="G17" s="60">
        <f t="shared" si="0"/>
        <v>787.5</v>
      </c>
      <c r="H17" s="71">
        <f t="shared" si="0"/>
        <v>1312.5</v>
      </c>
    </row>
    <row r="18" ht="15.75" spans="2:8">
      <c r="B18" s="62"/>
      <c r="C18" s="63"/>
      <c r="D18" s="64"/>
      <c r="E18" s="65"/>
      <c r="F18" s="66"/>
      <c r="G18" s="67"/>
      <c r="H18" s="68"/>
    </row>
    <row r="19" ht="15.75"/>
    <row r="22" spans="2:7">
      <c r="B22" s="2" t="s">
        <v>29</v>
      </c>
      <c r="G22" s="72"/>
    </row>
    <row r="24" ht="15.75"/>
    <row r="25" ht="15.75" spans="6:6">
      <c r="F25" s="73" t="s">
        <v>43</v>
      </c>
    </row>
    <row r="26" ht="15.75" spans="4:6">
      <c r="D26" s="38" t="s">
        <v>1</v>
      </c>
      <c r="E26" s="38" t="s">
        <v>44</v>
      </c>
      <c r="F26" s="74">
        <v>0.08</v>
      </c>
    </row>
    <row r="27" spans="4:6">
      <c r="D27" s="44" t="s">
        <v>36</v>
      </c>
      <c r="E27" s="46">
        <v>150</v>
      </c>
      <c r="F27" s="72"/>
    </row>
    <row r="28" spans="4:6">
      <c r="D28" s="50" t="s">
        <v>37</v>
      </c>
      <c r="E28" s="52">
        <v>500</v>
      </c>
      <c r="F28" s="72"/>
    </row>
    <row r="29" spans="4:6">
      <c r="D29" s="56" t="s">
        <v>38</v>
      </c>
      <c r="E29" s="58">
        <v>1050</v>
      </c>
      <c r="F29" s="72"/>
    </row>
    <row r="30" spans="4:6">
      <c r="D30" s="50" t="s">
        <v>39</v>
      </c>
      <c r="E30" s="52">
        <v>1800</v>
      </c>
      <c r="F30" s="72"/>
    </row>
    <row r="31" spans="4:6">
      <c r="D31" s="56" t="s">
        <v>40</v>
      </c>
      <c r="E31" s="58">
        <v>2750</v>
      </c>
      <c r="F31" s="72"/>
    </row>
    <row r="32" spans="4:6">
      <c r="D32" s="50" t="s">
        <v>41</v>
      </c>
      <c r="E32" s="52">
        <v>3900</v>
      </c>
      <c r="F32" s="72"/>
    </row>
    <row r="33" spans="4:6">
      <c r="D33" s="56" t="s">
        <v>42</v>
      </c>
      <c r="E33" s="58">
        <v>5250</v>
      </c>
      <c r="F33" s="72"/>
    </row>
    <row r="38" spans="2:2">
      <c r="B38" s="2" t="s">
        <v>29</v>
      </c>
    </row>
    <row r="41" ht="15.75"/>
    <row r="42" spans="2:8">
      <c r="B42" s="30" t="s">
        <v>30</v>
      </c>
      <c r="F42" s="31" t="s">
        <v>31</v>
      </c>
      <c r="G42" s="32"/>
      <c r="H42" s="33"/>
    </row>
    <row r="43" ht="15.75" spans="5:8">
      <c r="E43" s="34"/>
      <c r="F43" s="35">
        <v>0.08</v>
      </c>
      <c r="G43" s="36">
        <v>0.15</v>
      </c>
      <c r="H43" s="37">
        <v>0.25</v>
      </c>
    </row>
    <row r="44" ht="15.75" spans="2:8">
      <c r="B44" s="38" t="s">
        <v>1</v>
      </c>
      <c r="C44" s="39" t="s">
        <v>32</v>
      </c>
      <c r="D44" s="40" t="s">
        <v>25</v>
      </c>
      <c r="E44" s="40" t="s">
        <v>4</v>
      </c>
      <c r="F44" s="41" t="s">
        <v>33</v>
      </c>
      <c r="G44" s="42" t="s">
        <v>34</v>
      </c>
      <c r="H44" s="43" t="s">
        <v>35</v>
      </c>
    </row>
    <row r="45" ht="15.75" spans="2:8">
      <c r="B45" s="44" t="s">
        <v>36</v>
      </c>
      <c r="C45" s="45">
        <v>10</v>
      </c>
      <c r="D45" s="46">
        <v>15</v>
      </c>
      <c r="E45" s="46">
        <f>C45*D45</f>
        <v>150</v>
      </c>
      <c r="F45" s="47"/>
      <c r="G45" s="48"/>
      <c r="H45" s="70"/>
    </row>
    <row r="46" spans="2:8">
      <c r="B46" s="50" t="s">
        <v>37</v>
      </c>
      <c r="C46" s="51">
        <v>20</v>
      </c>
      <c r="D46" s="52">
        <v>25</v>
      </c>
      <c r="E46" s="52">
        <f t="shared" ref="E46:E51" si="3">C46*D46</f>
        <v>500</v>
      </c>
      <c r="F46" s="53"/>
      <c r="G46" s="54"/>
      <c r="H46" s="55"/>
    </row>
    <row r="47" spans="2:8">
      <c r="B47" s="56" t="s">
        <v>38</v>
      </c>
      <c r="C47" s="57">
        <v>30</v>
      </c>
      <c r="D47" s="58">
        <v>35</v>
      </c>
      <c r="E47" s="58">
        <f t="shared" si="3"/>
        <v>1050</v>
      </c>
      <c r="F47" s="59"/>
      <c r="G47" s="60"/>
      <c r="H47" s="61"/>
    </row>
    <row r="48" spans="2:8">
      <c r="B48" s="50" t="s">
        <v>39</v>
      </c>
      <c r="C48" s="51">
        <v>40</v>
      </c>
      <c r="D48" s="52">
        <v>45</v>
      </c>
      <c r="E48" s="52">
        <f t="shared" si="3"/>
        <v>1800</v>
      </c>
      <c r="F48" s="53"/>
      <c r="G48" s="54"/>
      <c r="H48" s="55"/>
    </row>
    <row r="49" spans="2:8">
      <c r="B49" s="56" t="s">
        <v>40</v>
      </c>
      <c r="C49" s="57">
        <v>50</v>
      </c>
      <c r="D49" s="58">
        <v>55</v>
      </c>
      <c r="E49" s="58">
        <f t="shared" si="3"/>
        <v>2750</v>
      </c>
      <c r="F49" s="59"/>
      <c r="G49" s="60"/>
      <c r="H49" s="71"/>
    </row>
    <row r="50" spans="2:8">
      <c r="B50" s="50" t="s">
        <v>41</v>
      </c>
      <c r="C50" s="51">
        <v>60</v>
      </c>
      <c r="D50" s="52">
        <v>65</v>
      </c>
      <c r="E50" s="52">
        <f t="shared" si="3"/>
        <v>3900</v>
      </c>
      <c r="F50" s="53"/>
      <c r="G50" s="54"/>
      <c r="H50" s="55"/>
    </row>
    <row r="51" spans="2:8">
      <c r="B51" s="56" t="s">
        <v>42</v>
      </c>
      <c r="C51" s="57">
        <v>70</v>
      </c>
      <c r="D51" s="58">
        <v>75</v>
      </c>
      <c r="E51" s="58">
        <f t="shared" si="3"/>
        <v>5250</v>
      </c>
      <c r="F51" s="59"/>
      <c r="G51" s="60"/>
      <c r="H51" s="71"/>
    </row>
    <row r="52" ht="15.75" spans="2:8">
      <c r="B52" s="62"/>
      <c r="C52" s="63"/>
      <c r="D52" s="64"/>
      <c r="E52" s="65"/>
      <c r="F52" s="66"/>
      <c r="G52" s="67"/>
      <c r="H52" s="68"/>
    </row>
    <row r="53" ht="15.75"/>
  </sheetData>
  <mergeCells count="2">
    <mergeCell ref="F8:H8"/>
    <mergeCell ref="F42:H42"/>
  </mergeCells>
  <pageMargins left="0.7" right="0.7" top="0.75" bottom="0.75" header="0.3" footer="0.3"/>
  <pageSetup paperSize="1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16"/>
  <sheetViews>
    <sheetView zoomScale="160" zoomScaleNormal="160" workbookViewId="0">
      <selection activeCell="E8" sqref="E8"/>
    </sheetView>
  </sheetViews>
  <sheetFormatPr defaultColWidth="8.86666666666667" defaultRowHeight="15" outlineLevelCol="6"/>
  <cols>
    <col min="1" max="1" width="16.2666666666667" customWidth="1"/>
    <col min="2" max="2" width="15.8666666666667" customWidth="1"/>
    <col min="3" max="3" width="15" customWidth="1"/>
    <col min="4" max="4" width="12.4" customWidth="1"/>
    <col min="5" max="5" width="17" customWidth="1"/>
    <col min="6" max="6" width="15.4" customWidth="1"/>
    <col min="7" max="7" width="15.7333333333333" customWidth="1"/>
  </cols>
  <sheetData>
    <row r="4" ht="15.75"/>
    <row r="5" spans="1:7">
      <c r="A5" s="30" t="s">
        <v>30</v>
      </c>
      <c r="E5" s="31" t="s">
        <v>31</v>
      </c>
      <c r="F5" s="32"/>
      <c r="G5" s="33"/>
    </row>
    <row r="6" ht="15.75" spans="4:7">
      <c r="D6" s="34"/>
      <c r="E6" s="35">
        <v>0.08</v>
      </c>
      <c r="F6" s="36">
        <v>0.15</v>
      </c>
      <c r="G6" s="37">
        <v>0.25</v>
      </c>
    </row>
    <row r="7" ht="15.75" spans="1:7">
      <c r="A7" s="38" t="s">
        <v>1</v>
      </c>
      <c r="B7" s="39" t="s">
        <v>32</v>
      </c>
      <c r="C7" s="40" t="s">
        <v>25</v>
      </c>
      <c r="D7" s="40" t="s">
        <v>4</v>
      </c>
      <c r="E7" s="41" t="s">
        <v>33</v>
      </c>
      <c r="F7" s="42" t="s">
        <v>34</v>
      </c>
      <c r="G7" s="43" t="s">
        <v>35</v>
      </c>
    </row>
    <row r="8" ht="15.75" spans="1:7">
      <c r="A8" s="44" t="s">
        <v>36</v>
      </c>
      <c r="B8" s="45">
        <v>10</v>
      </c>
      <c r="C8" s="46">
        <v>15</v>
      </c>
      <c r="D8" s="46" cm="1">
        <f t="array" ref="D8:D14">NR_Purchases*NR_Price</f>
        <v>150</v>
      </c>
      <c r="E8" s="47" cm="1">
        <f t="array" ref="E8:E14">NR_Totals*NR_SilverDiscount</f>
        <v>12</v>
      </c>
      <c r="F8" s="48" cm="1">
        <f t="array" ref="F8:F14">NR_Totals*NR_GoldDiscount</f>
        <v>22.5</v>
      </c>
      <c r="G8" s="49" cm="1">
        <f t="array" ref="G8:G14">NR_Totals*NR_PlatinumDiscount</f>
        <v>37.5</v>
      </c>
    </row>
    <row r="9" spans="1:7">
      <c r="A9" s="50" t="s">
        <v>37</v>
      </c>
      <c r="B9" s="51">
        <v>20</v>
      </c>
      <c r="C9" s="52">
        <v>25</v>
      </c>
      <c r="D9" s="52">
        <v>500</v>
      </c>
      <c r="E9" s="53">
        <v>40</v>
      </c>
      <c r="F9" s="54">
        <v>75</v>
      </c>
      <c r="G9" s="55">
        <v>125</v>
      </c>
    </row>
    <row r="10" spans="1:7">
      <c r="A10" s="56" t="s">
        <v>38</v>
      </c>
      <c r="B10" s="57">
        <v>30</v>
      </c>
      <c r="C10" s="58">
        <v>35</v>
      </c>
      <c r="D10" s="58">
        <v>1050</v>
      </c>
      <c r="E10" s="59">
        <v>84</v>
      </c>
      <c r="F10" s="60">
        <v>157.5</v>
      </c>
      <c r="G10" s="61">
        <v>262.5</v>
      </c>
    </row>
    <row r="11" spans="1:7">
      <c r="A11" s="50" t="s">
        <v>39</v>
      </c>
      <c r="B11" s="51">
        <v>40</v>
      </c>
      <c r="C11" s="52">
        <v>45</v>
      </c>
      <c r="D11" s="52">
        <v>1800</v>
      </c>
      <c r="E11" s="53">
        <v>144</v>
      </c>
      <c r="F11" s="54">
        <v>270</v>
      </c>
      <c r="G11" s="55">
        <v>450</v>
      </c>
    </row>
    <row r="12" spans="1:7">
      <c r="A12" s="56" t="s">
        <v>40</v>
      </c>
      <c r="B12" s="57">
        <v>50</v>
      </c>
      <c r="C12" s="58">
        <v>55</v>
      </c>
      <c r="D12" s="58">
        <v>2750</v>
      </c>
      <c r="E12" s="59">
        <v>220</v>
      </c>
      <c r="F12" s="60">
        <v>412.5</v>
      </c>
      <c r="G12" s="61">
        <v>687.5</v>
      </c>
    </row>
    <row r="13" spans="1:7">
      <c r="A13" s="50" t="s">
        <v>41</v>
      </c>
      <c r="B13" s="51">
        <v>60</v>
      </c>
      <c r="C13" s="52">
        <v>65</v>
      </c>
      <c r="D13" s="52">
        <v>3900</v>
      </c>
      <c r="E13" s="53">
        <v>312</v>
      </c>
      <c r="F13" s="54">
        <v>585</v>
      </c>
      <c r="G13" s="55">
        <v>975</v>
      </c>
    </row>
    <row r="14" spans="1:7">
      <c r="A14" s="56" t="s">
        <v>42</v>
      </c>
      <c r="B14" s="57">
        <v>70</v>
      </c>
      <c r="C14" s="58">
        <v>75</v>
      </c>
      <c r="D14" s="58">
        <v>5250</v>
      </c>
      <c r="E14" s="59">
        <v>420</v>
      </c>
      <c r="F14" s="60">
        <v>787.5</v>
      </c>
      <c r="G14" s="61">
        <v>1312.5</v>
      </c>
    </row>
    <row r="15" ht="15.75" spans="1:7">
      <c r="A15" s="62"/>
      <c r="B15" s="63"/>
      <c r="C15" s="64"/>
      <c r="D15" s="65"/>
      <c r="E15" s="66"/>
      <c r="F15" s="67"/>
      <c r="G15" s="68"/>
    </row>
    <row r="16" ht="15.75"/>
  </sheetData>
  <mergeCells count="1">
    <mergeCell ref="E5:G5"/>
  </mergeCells>
  <pageMargins left="0.7" right="0.7" top="0.75" bottom="0.75" header="0.3" footer="0.3"/>
  <pageSetup paperSize="1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4"/>
  <sheetViews>
    <sheetView zoomScale="120" zoomScaleNormal="120" zoomScalePageLayoutView="90" topLeftCell="A5" workbookViewId="0">
      <selection activeCell="C26" sqref="C26"/>
    </sheetView>
  </sheetViews>
  <sheetFormatPr defaultColWidth="8.86666666666667" defaultRowHeight="15"/>
  <cols>
    <col min="1" max="1" width="18.4" customWidth="1"/>
    <col min="2" max="2" width="29.4" customWidth="1"/>
    <col min="3" max="5" width="20.7333333333333" customWidth="1"/>
    <col min="6" max="6" width="12.4" customWidth="1"/>
    <col min="7" max="7" width="14.2666666666667" customWidth="1"/>
    <col min="8" max="8" width="12.2666666666667" customWidth="1"/>
    <col min="9" max="9" width="14" customWidth="1"/>
    <col min="10" max="10" width="7" customWidth="1"/>
    <col min="11" max="11" width="9" customWidth="1"/>
    <col min="12" max="12" width="10" customWidth="1"/>
    <col min="13" max="13" width="18" customWidth="1"/>
    <col min="14" max="14" width="14.7333333333333" customWidth="1"/>
    <col min="15" max="15" width="25" customWidth="1"/>
    <col min="16" max="16" width="38.7333333333333" customWidth="1"/>
    <col min="17" max="17" width="12.2666666666667" customWidth="1"/>
    <col min="18" max="18" width="16.2666666666667" customWidth="1"/>
    <col min="19" max="19" width="17.1333333333333" customWidth="1"/>
    <col min="27" max="27" width="19.7333333333333" customWidth="1"/>
    <col min="29" max="29" width="38.7333333333333" customWidth="1"/>
  </cols>
  <sheetData>
    <row r="1" spans="3:29">
      <c r="C1" s="1"/>
      <c r="AA1" s="8" t="s">
        <v>45</v>
      </c>
      <c r="AC1" s="8" t="s">
        <v>46</v>
      </c>
    </row>
    <row r="2" spans="3:29">
      <c r="C2" s="1"/>
      <c r="AA2" s="15" t="s">
        <v>47</v>
      </c>
      <c r="AC2" s="15" t="s">
        <v>48</v>
      </c>
    </row>
    <row r="3" spans="3:29">
      <c r="C3" s="1"/>
      <c r="AA3" s="15" t="s">
        <v>49</v>
      </c>
      <c r="AC3" s="15" t="s">
        <v>50</v>
      </c>
    </row>
    <row r="4" spans="3:29">
      <c r="C4" s="1"/>
      <c r="D4" s="1"/>
      <c r="E4" s="1"/>
      <c r="AA4" s="15" t="s">
        <v>51</v>
      </c>
      <c r="AC4" s="15" t="s">
        <v>52</v>
      </c>
    </row>
    <row r="5" spans="3:29">
      <c r="C5" s="1"/>
      <c r="D5" s="1"/>
      <c r="E5" s="1"/>
      <c r="AA5" s="15" t="s">
        <v>53</v>
      </c>
      <c r="AC5" s="15" t="s">
        <v>54</v>
      </c>
    </row>
    <row r="6" spans="3:29">
      <c r="C6" s="1"/>
      <c r="D6" s="1"/>
      <c r="E6" s="1"/>
      <c r="AA6" s="15" t="s">
        <v>55</v>
      </c>
      <c r="AC6" s="15" t="s">
        <v>56</v>
      </c>
    </row>
    <row r="7" spans="1:29">
      <c r="A7" s="2" t="s">
        <v>57</v>
      </c>
      <c r="C7" s="3" t="s">
        <v>58</v>
      </c>
      <c r="D7" s="3" t="s">
        <v>59</v>
      </c>
      <c r="E7" s="3" t="s">
        <v>60</v>
      </c>
      <c r="AA7" s="15" t="s">
        <v>61</v>
      </c>
      <c r="AC7" s="15" t="s">
        <v>62</v>
      </c>
    </row>
    <row r="8" spans="1:29">
      <c r="A8" t="s">
        <v>63</v>
      </c>
      <c r="C8" s="1">
        <f>COUNT(Sales)</f>
        <v>49</v>
      </c>
      <c r="D8" s="4">
        <f>SUM(Sales)</f>
        <v>52062.75</v>
      </c>
      <c r="E8" s="4">
        <f>AVERAGE(Sales)</f>
        <v>1062.50510204082</v>
      </c>
      <c r="AA8" s="15" t="s">
        <v>64</v>
      </c>
      <c r="AC8" s="15" t="s">
        <v>65</v>
      </c>
    </row>
    <row r="9" spans="3:29">
      <c r="C9" s="1"/>
      <c r="D9" s="1"/>
      <c r="E9" s="1"/>
      <c r="AA9" s="15" t="s">
        <v>66</v>
      </c>
      <c r="AC9" s="15" t="s">
        <v>67</v>
      </c>
    </row>
    <row r="10" spans="3:29">
      <c r="C10" s="1"/>
      <c r="D10" s="1"/>
      <c r="E10" s="1"/>
      <c r="AC10" s="15" t="s">
        <v>68</v>
      </c>
    </row>
    <row r="11" spans="3:29">
      <c r="C11" s="1"/>
      <c r="D11" s="1"/>
      <c r="E11" s="1"/>
      <c r="AC11" s="15" t="s">
        <v>69</v>
      </c>
    </row>
    <row r="12" ht="15.75" spans="1:29">
      <c r="A12" s="2" t="s">
        <v>70</v>
      </c>
      <c r="B12" s="2" t="s">
        <v>71</v>
      </c>
      <c r="C12" s="3" t="s">
        <v>72</v>
      </c>
      <c r="D12" s="3" t="s">
        <v>73</v>
      </c>
      <c r="E12" s="3" t="s">
        <v>74</v>
      </c>
      <c r="AC12" s="15" t="s">
        <v>75</v>
      </c>
    </row>
    <row r="13" ht="15.75" spans="1:29">
      <c r="A13" t="s">
        <v>76</v>
      </c>
      <c r="B13" s="5" t="s">
        <v>49</v>
      </c>
      <c r="C13" s="1">
        <f>COUNTIF(Employee,B13)</f>
        <v>10</v>
      </c>
      <c r="D13" s="4">
        <f>SUMIF(Employee,B13,Sales)</f>
        <v>19974.25</v>
      </c>
      <c r="E13" s="4">
        <f>AVERAGEIF(Employee,B13,Sales)</f>
        <v>1997.425</v>
      </c>
      <c r="AC13" s="15" t="s">
        <v>77</v>
      </c>
    </row>
    <row r="14" spans="3:29">
      <c r="C14" s="1"/>
      <c r="D14" s="1"/>
      <c r="E14" s="1"/>
      <c r="AC14" s="15" t="s">
        <v>78</v>
      </c>
    </row>
    <row r="15" spans="3:29">
      <c r="C15" s="1"/>
      <c r="D15" s="1"/>
      <c r="E15" s="1"/>
      <c r="AC15" s="15" t="s">
        <v>79</v>
      </c>
    </row>
    <row r="16" spans="3:29">
      <c r="C16" s="1"/>
      <c r="D16" s="1"/>
      <c r="E16" s="1"/>
      <c r="AC16" s="15"/>
    </row>
    <row r="17" ht="30.75" spans="1:29">
      <c r="A17" s="2" t="s">
        <v>80</v>
      </c>
      <c r="B17" s="6" t="s">
        <v>81</v>
      </c>
      <c r="C17" s="3" t="s">
        <v>82</v>
      </c>
      <c r="D17" s="3" t="s">
        <v>83</v>
      </c>
      <c r="E17" s="3" t="s">
        <v>84</v>
      </c>
      <c r="AC17" s="15"/>
    </row>
    <row r="18" ht="15.75" spans="1:29">
      <c r="A18" t="s">
        <v>76</v>
      </c>
      <c r="B18" s="5" t="s">
        <v>49</v>
      </c>
      <c r="C18" s="1">
        <f>COUNTIFS(Employee,B18,Customer,B19)</f>
        <v>1</v>
      </c>
      <c r="D18" s="1">
        <f>SUMIFS(Sales,Employee,B18,Customer,B19)</f>
        <v>184</v>
      </c>
      <c r="E18" s="1">
        <f>AVERAGEIFS(Sales,Employee,B18,Customer,B19)</f>
        <v>184</v>
      </c>
      <c r="AC18" s="15"/>
    </row>
    <row r="19" ht="15.75" spans="1:29">
      <c r="A19" t="s">
        <v>85</v>
      </c>
      <c r="B19" s="7" t="s">
        <v>62</v>
      </c>
      <c r="C19" s="1"/>
      <c r="D19" s="1"/>
      <c r="E19" s="1"/>
      <c r="AC19" s="15"/>
    </row>
    <row r="20" spans="3:29">
      <c r="C20" s="1"/>
      <c r="D20" s="1"/>
      <c r="E20" s="1"/>
      <c r="AC20" s="15"/>
    </row>
    <row r="21" spans="3:29">
      <c r="C21" s="1"/>
      <c r="D21" s="1"/>
      <c r="E21" s="1"/>
      <c r="AC21" s="15"/>
    </row>
    <row r="22" spans="29:29">
      <c r="AC22" s="15"/>
    </row>
    <row r="23" spans="29:29">
      <c r="AC23" s="15"/>
    </row>
    <row r="24" spans="29:29">
      <c r="AC24" s="15"/>
    </row>
    <row r="25" spans="1:19">
      <c r="A25" s="8" t="s">
        <v>86</v>
      </c>
      <c r="B25" s="8" t="s">
        <v>87</v>
      </c>
      <c r="C25" s="8" t="s">
        <v>88</v>
      </c>
      <c r="D25" s="8" t="s">
        <v>89</v>
      </c>
      <c r="E25" s="8" t="s">
        <v>90</v>
      </c>
      <c r="F25" s="8" t="s">
        <v>44</v>
      </c>
      <c r="G25" s="8" t="s">
        <v>91</v>
      </c>
      <c r="H25" s="8" t="s">
        <v>92</v>
      </c>
      <c r="I25" s="8" t="s">
        <v>93</v>
      </c>
      <c r="J25" s="8" t="s">
        <v>94</v>
      </c>
      <c r="K25" s="8" t="s">
        <v>95</v>
      </c>
      <c r="L25" s="8" t="s">
        <v>96</v>
      </c>
      <c r="M25" s="8" t="s">
        <v>97</v>
      </c>
      <c r="N25" s="8" t="s">
        <v>98</v>
      </c>
      <c r="O25" s="8" t="s">
        <v>99</v>
      </c>
      <c r="P25" s="8" t="s">
        <v>100</v>
      </c>
      <c r="Q25" s="8" t="s">
        <v>1</v>
      </c>
      <c r="R25" s="8" t="s">
        <v>101</v>
      </c>
      <c r="S25" s="21" t="s">
        <v>102</v>
      </c>
    </row>
    <row r="26" spans="1:19">
      <c r="A26" s="9">
        <v>56</v>
      </c>
      <c r="B26" s="10">
        <v>38810</v>
      </c>
      <c r="C26" s="11" t="s">
        <v>47</v>
      </c>
      <c r="D26" s="11" t="s">
        <v>65</v>
      </c>
      <c r="E26" s="11" t="s">
        <v>103</v>
      </c>
      <c r="F26" s="12">
        <v>127.5</v>
      </c>
      <c r="G26" s="9">
        <v>2</v>
      </c>
      <c r="H26" s="9">
        <v>48</v>
      </c>
      <c r="I26" s="9">
        <v>6</v>
      </c>
      <c r="J26" s="9">
        <v>2006</v>
      </c>
      <c r="K26" s="9">
        <v>4</v>
      </c>
      <c r="L26" s="9">
        <v>2</v>
      </c>
      <c r="M26" s="9">
        <v>1</v>
      </c>
      <c r="N26" s="11" t="s">
        <v>104</v>
      </c>
      <c r="O26" s="11" t="s">
        <v>105</v>
      </c>
      <c r="P26" s="11" t="s">
        <v>103</v>
      </c>
      <c r="Q26" s="11" t="s">
        <v>65</v>
      </c>
      <c r="R26" s="11" t="s">
        <v>106</v>
      </c>
      <c r="S26" s="22" t="s">
        <v>107</v>
      </c>
    </row>
    <row r="27" spans="1:19">
      <c r="A27" s="13">
        <v>79</v>
      </c>
      <c r="B27" s="14">
        <v>38891</v>
      </c>
      <c r="C27" s="15" t="s">
        <v>47</v>
      </c>
      <c r="D27" s="15" t="s">
        <v>65</v>
      </c>
      <c r="E27" s="15" t="s">
        <v>108</v>
      </c>
      <c r="F27" s="16">
        <v>900</v>
      </c>
      <c r="G27" s="13">
        <v>2</v>
      </c>
      <c r="H27" s="13">
        <v>7</v>
      </c>
      <c r="I27" s="13">
        <v>6</v>
      </c>
      <c r="J27" s="13">
        <v>2006</v>
      </c>
      <c r="K27" s="13">
        <v>6</v>
      </c>
      <c r="L27" s="13">
        <v>2</v>
      </c>
      <c r="M27" s="13">
        <v>0</v>
      </c>
      <c r="N27" s="15" t="s">
        <v>109</v>
      </c>
      <c r="O27" s="15" t="s">
        <v>110</v>
      </c>
      <c r="P27" s="15" t="s">
        <v>108</v>
      </c>
      <c r="Q27" s="15" t="s">
        <v>65</v>
      </c>
      <c r="R27" s="15" t="s">
        <v>106</v>
      </c>
      <c r="S27" s="23" t="s">
        <v>107</v>
      </c>
    </row>
    <row r="28" spans="1:19">
      <c r="A28" s="17">
        <v>79</v>
      </c>
      <c r="B28" s="18">
        <v>38891</v>
      </c>
      <c r="C28" s="19" t="s">
        <v>47</v>
      </c>
      <c r="D28" s="19" t="s">
        <v>65</v>
      </c>
      <c r="E28" s="19" t="s">
        <v>111</v>
      </c>
      <c r="F28" s="20">
        <v>1590</v>
      </c>
      <c r="G28" s="17">
        <v>2</v>
      </c>
      <c r="H28" s="17">
        <v>51</v>
      </c>
      <c r="I28" s="17">
        <v>6</v>
      </c>
      <c r="J28" s="17">
        <v>2006</v>
      </c>
      <c r="K28" s="17">
        <v>6</v>
      </c>
      <c r="L28" s="17">
        <v>2</v>
      </c>
      <c r="M28" s="17">
        <v>0</v>
      </c>
      <c r="N28" s="19" t="s">
        <v>109</v>
      </c>
      <c r="O28" s="19" t="s">
        <v>110</v>
      </c>
      <c r="P28" s="19" t="s">
        <v>111</v>
      </c>
      <c r="Q28" s="19" t="s">
        <v>65</v>
      </c>
      <c r="R28" s="19" t="s">
        <v>106</v>
      </c>
      <c r="S28" s="24" t="s">
        <v>107</v>
      </c>
    </row>
    <row r="29" spans="1:19">
      <c r="A29" s="13">
        <v>38</v>
      </c>
      <c r="B29" s="14">
        <v>38786</v>
      </c>
      <c r="C29" s="15" t="s">
        <v>49</v>
      </c>
      <c r="D29" s="15" t="s">
        <v>52</v>
      </c>
      <c r="E29" s="15" t="s">
        <v>112</v>
      </c>
      <c r="F29" s="16">
        <v>13800</v>
      </c>
      <c r="G29" s="13">
        <v>9</v>
      </c>
      <c r="H29" s="13">
        <v>43</v>
      </c>
      <c r="I29" s="13">
        <v>28</v>
      </c>
      <c r="J29" s="13">
        <v>2006</v>
      </c>
      <c r="K29" s="13">
        <v>3</v>
      </c>
      <c r="L29" s="13">
        <v>1</v>
      </c>
      <c r="M29" s="13">
        <v>0</v>
      </c>
      <c r="N29" s="15" t="s">
        <v>113</v>
      </c>
      <c r="O29" s="15" t="s">
        <v>114</v>
      </c>
      <c r="P29" s="15" t="s">
        <v>112</v>
      </c>
      <c r="Q29" s="15" t="s">
        <v>52</v>
      </c>
      <c r="R29" s="15" t="s">
        <v>115</v>
      </c>
      <c r="S29" s="23" t="s">
        <v>107</v>
      </c>
    </row>
    <row r="30" spans="1:19">
      <c r="A30" s="17">
        <v>51</v>
      </c>
      <c r="B30" s="18">
        <v>38812</v>
      </c>
      <c r="C30" s="19" t="s">
        <v>49</v>
      </c>
      <c r="D30" s="19" t="s">
        <v>79</v>
      </c>
      <c r="E30" s="19" t="s">
        <v>116</v>
      </c>
      <c r="F30" s="20">
        <v>533.75</v>
      </c>
      <c r="G30" s="17">
        <v>9</v>
      </c>
      <c r="H30" s="17">
        <v>5</v>
      </c>
      <c r="I30" s="17">
        <v>26</v>
      </c>
      <c r="J30" s="17">
        <v>2006</v>
      </c>
      <c r="K30" s="17">
        <v>4</v>
      </c>
      <c r="L30" s="17">
        <v>2</v>
      </c>
      <c r="M30" s="17">
        <v>1</v>
      </c>
      <c r="N30" s="19" t="s">
        <v>104</v>
      </c>
      <c r="O30" s="19" t="s">
        <v>117</v>
      </c>
      <c r="P30" s="19" t="s">
        <v>116</v>
      </c>
      <c r="Q30" s="19" t="s">
        <v>79</v>
      </c>
      <c r="R30" s="19" t="s">
        <v>118</v>
      </c>
      <c r="S30" s="24" t="s">
        <v>107</v>
      </c>
    </row>
    <row r="31" spans="1:19">
      <c r="A31" s="13">
        <v>51</v>
      </c>
      <c r="B31" s="14">
        <v>38812</v>
      </c>
      <c r="C31" s="15" t="s">
        <v>49</v>
      </c>
      <c r="D31" s="15" t="s">
        <v>79</v>
      </c>
      <c r="E31" s="15" t="s">
        <v>119</v>
      </c>
      <c r="F31" s="16">
        <v>289.5</v>
      </c>
      <c r="G31" s="13">
        <v>9</v>
      </c>
      <c r="H31" s="13">
        <v>41</v>
      </c>
      <c r="I31" s="13">
        <v>26</v>
      </c>
      <c r="J31" s="13">
        <v>2006</v>
      </c>
      <c r="K31" s="13">
        <v>4</v>
      </c>
      <c r="L31" s="13">
        <v>2</v>
      </c>
      <c r="M31" s="13">
        <v>1</v>
      </c>
      <c r="N31" s="15" t="s">
        <v>104</v>
      </c>
      <c r="O31" s="15" t="s">
        <v>120</v>
      </c>
      <c r="P31" s="15" t="s">
        <v>119</v>
      </c>
      <c r="Q31" s="15" t="s">
        <v>79</v>
      </c>
      <c r="R31" s="15" t="s">
        <v>118</v>
      </c>
      <c r="S31" s="23" t="s">
        <v>107</v>
      </c>
    </row>
    <row r="32" spans="1:19">
      <c r="A32" s="17">
        <v>51</v>
      </c>
      <c r="B32" s="18">
        <v>38812</v>
      </c>
      <c r="C32" s="19" t="s">
        <v>49</v>
      </c>
      <c r="D32" s="19" t="s">
        <v>79</v>
      </c>
      <c r="E32" s="19" t="s">
        <v>121</v>
      </c>
      <c r="F32" s="20">
        <v>552</v>
      </c>
      <c r="G32" s="17">
        <v>9</v>
      </c>
      <c r="H32" s="17">
        <v>40</v>
      </c>
      <c r="I32" s="17">
        <v>26</v>
      </c>
      <c r="J32" s="17">
        <v>2006</v>
      </c>
      <c r="K32" s="17">
        <v>4</v>
      </c>
      <c r="L32" s="17">
        <v>2</v>
      </c>
      <c r="M32" s="17">
        <v>1</v>
      </c>
      <c r="N32" s="19" t="s">
        <v>104</v>
      </c>
      <c r="O32" s="19" t="s">
        <v>122</v>
      </c>
      <c r="P32" s="19" t="s">
        <v>121</v>
      </c>
      <c r="Q32" s="19" t="s">
        <v>79</v>
      </c>
      <c r="R32" s="19" t="s">
        <v>118</v>
      </c>
      <c r="S32" s="24" t="s">
        <v>107</v>
      </c>
    </row>
    <row r="33" spans="1:19">
      <c r="A33" s="13">
        <v>77</v>
      </c>
      <c r="B33" s="14">
        <v>38873</v>
      </c>
      <c r="C33" s="15" t="s">
        <v>49</v>
      </c>
      <c r="D33" s="15" t="s">
        <v>79</v>
      </c>
      <c r="E33" s="15" t="s">
        <v>123</v>
      </c>
      <c r="F33" s="16">
        <v>2250</v>
      </c>
      <c r="G33" s="13">
        <v>9</v>
      </c>
      <c r="H33" s="13">
        <v>6</v>
      </c>
      <c r="I33" s="13">
        <v>26</v>
      </c>
      <c r="J33" s="13">
        <v>2006</v>
      </c>
      <c r="K33" s="13">
        <v>6</v>
      </c>
      <c r="L33" s="13">
        <v>2</v>
      </c>
      <c r="M33" s="13">
        <v>0</v>
      </c>
      <c r="N33" s="15" t="s">
        <v>109</v>
      </c>
      <c r="O33" s="15" t="s">
        <v>124</v>
      </c>
      <c r="P33" s="15" t="s">
        <v>123</v>
      </c>
      <c r="Q33" s="15" t="s">
        <v>79</v>
      </c>
      <c r="R33" s="15" t="s">
        <v>118</v>
      </c>
      <c r="S33" s="23" t="s">
        <v>107</v>
      </c>
    </row>
    <row r="34" spans="1:19">
      <c r="A34" s="17">
        <v>30</v>
      </c>
      <c r="B34" s="18">
        <v>38732</v>
      </c>
      <c r="C34" s="19" t="s">
        <v>49</v>
      </c>
      <c r="D34" s="19" t="s">
        <v>50</v>
      </c>
      <c r="E34" s="19" t="s">
        <v>125</v>
      </c>
      <c r="F34" s="20">
        <v>1400</v>
      </c>
      <c r="G34" s="17">
        <v>9</v>
      </c>
      <c r="H34" s="17">
        <v>34</v>
      </c>
      <c r="I34" s="17">
        <v>27</v>
      </c>
      <c r="J34" s="17">
        <v>2006</v>
      </c>
      <c r="K34" s="17">
        <v>1</v>
      </c>
      <c r="L34" s="17">
        <v>1</v>
      </c>
      <c r="M34" s="17">
        <v>1</v>
      </c>
      <c r="N34" s="19" t="s">
        <v>126</v>
      </c>
      <c r="O34" s="19" t="s">
        <v>114</v>
      </c>
      <c r="P34" s="19" t="s">
        <v>125</v>
      </c>
      <c r="Q34" s="19" t="s">
        <v>50</v>
      </c>
      <c r="R34" s="19" t="s">
        <v>127</v>
      </c>
      <c r="S34" s="24" t="s">
        <v>107</v>
      </c>
    </row>
    <row r="35" spans="1:19">
      <c r="A35" s="13">
        <v>76</v>
      </c>
      <c r="B35" s="14">
        <v>38873</v>
      </c>
      <c r="C35" s="15" t="s">
        <v>49</v>
      </c>
      <c r="D35" s="15" t="s">
        <v>78</v>
      </c>
      <c r="E35" s="15" t="s">
        <v>128</v>
      </c>
      <c r="F35" s="16">
        <v>660</v>
      </c>
      <c r="G35" s="13">
        <v>9</v>
      </c>
      <c r="H35" s="13">
        <v>4</v>
      </c>
      <c r="I35" s="13">
        <v>25</v>
      </c>
      <c r="J35" s="13">
        <v>2006</v>
      </c>
      <c r="K35" s="13">
        <v>6</v>
      </c>
      <c r="L35" s="13">
        <v>2</v>
      </c>
      <c r="M35" s="13">
        <v>0</v>
      </c>
      <c r="N35" s="15" t="s">
        <v>109</v>
      </c>
      <c r="O35" s="15" t="s">
        <v>129</v>
      </c>
      <c r="P35" s="15" t="s">
        <v>128</v>
      </c>
      <c r="Q35" s="15" t="s">
        <v>78</v>
      </c>
      <c r="R35" s="15" t="s">
        <v>130</v>
      </c>
      <c r="S35" s="23" t="s">
        <v>107</v>
      </c>
    </row>
    <row r="36" spans="1:19">
      <c r="A36" s="17">
        <v>50</v>
      </c>
      <c r="B36" s="18">
        <v>38812</v>
      </c>
      <c r="C36" s="19" t="s">
        <v>49</v>
      </c>
      <c r="D36" s="19" t="s">
        <v>78</v>
      </c>
      <c r="E36" s="19" t="s">
        <v>131</v>
      </c>
      <c r="F36" s="20">
        <v>200</v>
      </c>
      <c r="G36" s="17">
        <v>9</v>
      </c>
      <c r="H36" s="17">
        <v>21</v>
      </c>
      <c r="I36" s="17">
        <v>25</v>
      </c>
      <c r="J36" s="17">
        <v>2006</v>
      </c>
      <c r="K36" s="17">
        <v>4</v>
      </c>
      <c r="L36" s="17">
        <v>2</v>
      </c>
      <c r="M36" s="17">
        <v>1</v>
      </c>
      <c r="N36" s="19" t="s">
        <v>104</v>
      </c>
      <c r="O36" s="19" t="s">
        <v>132</v>
      </c>
      <c r="P36" s="19" t="s">
        <v>131</v>
      </c>
      <c r="Q36" s="19" t="s">
        <v>78</v>
      </c>
      <c r="R36" s="19" t="s">
        <v>130</v>
      </c>
      <c r="S36" s="24" t="s">
        <v>107</v>
      </c>
    </row>
    <row r="37" spans="1:19">
      <c r="A37" s="13">
        <v>34</v>
      </c>
      <c r="B37" s="14">
        <v>38754</v>
      </c>
      <c r="C37" s="15" t="s">
        <v>49</v>
      </c>
      <c r="D37" s="15" t="s">
        <v>62</v>
      </c>
      <c r="E37" s="15" t="s">
        <v>133</v>
      </c>
      <c r="F37" s="16">
        <v>184</v>
      </c>
      <c r="G37" s="13">
        <v>9</v>
      </c>
      <c r="H37" s="13">
        <v>19</v>
      </c>
      <c r="I37" s="13">
        <v>4</v>
      </c>
      <c r="J37" s="13">
        <v>2006</v>
      </c>
      <c r="K37" s="13">
        <v>2</v>
      </c>
      <c r="L37" s="13">
        <v>1</v>
      </c>
      <c r="M37" s="13">
        <v>2</v>
      </c>
      <c r="N37" s="15" t="s">
        <v>134</v>
      </c>
      <c r="O37" s="15" t="s">
        <v>132</v>
      </c>
      <c r="P37" s="15" t="s">
        <v>133</v>
      </c>
      <c r="Q37" s="15" t="s">
        <v>62</v>
      </c>
      <c r="R37" s="15" t="s">
        <v>135</v>
      </c>
      <c r="S37" s="23" t="s">
        <v>107</v>
      </c>
    </row>
    <row r="38" spans="1:19">
      <c r="A38" s="17">
        <v>30</v>
      </c>
      <c r="B38" s="18">
        <v>38732</v>
      </c>
      <c r="C38" s="19" t="s">
        <v>49</v>
      </c>
      <c r="D38" s="19" t="s">
        <v>50</v>
      </c>
      <c r="E38" s="19" t="s">
        <v>136</v>
      </c>
      <c r="F38" s="20">
        <v>105</v>
      </c>
      <c r="G38" s="17">
        <v>9</v>
      </c>
      <c r="H38" s="17">
        <v>80</v>
      </c>
      <c r="I38" s="17">
        <v>27</v>
      </c>
      <c r="J38" s="17">
        <v>2006</v>
      </c>
      <c r="K38" s="17">
        <v>1</v>
      </c>
      <c r="L38" s="17">
        <v>1</v>
      </c>
      <c r="M38" s="17">
        <v>1</v>
      </c>
      <c r="N38" s="19" t="s">
        <v>126</v>
      </c>
      <c r="O38" s="19" t="s">
        <v>110</v>
      </c>
      <c r="P38" s="19" t="s">
        <v>136</v>
      </c>
      <c r="Q38" s="19" t="s">
        <v>50</v>
      </c>
      <c r="R38" s="19" t="s">
        <v>127</v>
      </c>
      <c r="S38" s="24" t="s">
        <v>107</v>
      </c>
    </row>
    <row r="39" spans="1:19">
      <c r="A39" s="13">
        <v>35</v>
      </c>
      <c r="B39" s="14">
        <v>38758</v>
      </c>
      <c r="C39" s="15" t="s">
        <v>51</v>
      </c>
      <c r="D39" s="15" t="s">
        <v>56</v>
      </c>
      <c r="E39" s="15" t="s">
        <v>103</v>
      </c>
      <c r="F39" s="16">
        <v>127.5</v>
      </c>
      <c r="G39" s="13">
        <v>3</v>
      </c>
      <c r="H39" s="13">
        <v>48</v>
      </c>
      <c r="I39" s="13">
        <v>29</v>
      </c>
      <c r="J39" s="13">
        <v>2006</v>
      </c>
      <c r="K39" s="13">
        <v>2</v>
      </c>
      <c r="L39" s="13">
        <v>1</v>
      </c>
      <c r="M39" s="13">
        <v>2</v>
      </c>
      <c r="N39" s="15" t="s">
        <v>134</v>
      </c>
      <c r="O39" s="15" t="s">
        <v>105</v>
      </c>
      <c r="P39" s="15" t="s">
        <v>103</v>
      </c>
      <c r="Q39" s="15" t="s">
        <v>56</v>
      </c>
      <c r="R39" s="15" t="s">
        <v>137</v>
      </c>
      <c r="S39" s="23" t="s">
        <v>107</v>
      </c>
    </row>
    <row r="40" spans="1:19">
      <c r="A40" s="17">
        <v>39</v>
      </c>
      <c r="B40" s="18">
        <v>38798</v>
      </c>
      <c r="C40" s="19" t="s">
        <v>51</v>
      </c>
      <c r="D40" s="19" t="s">
        <v>67</v>
      </c>
      <c r="E40" s="19" t="s">
        <v>103</v>
      </c>
      <c r="F40" s="20">
        <v>1275</v>
      </c>
      <c r="G40" s="17">
        <v>3</v>
      </c>
      <c r="H40" s="17">
        <v>48</v>
      </c>
      <c r="I40" s="17">
        <v>8</v>
      </c>
      <c r="J40" s="17">
        <v>2006</v>
      </c>
      <c r="K40" s="17">
        <v>3</v>
      </c>
      <c r="L40" s="17">
        <v>1</v>
      </c>
      <c r="M40" s="17">
        <v>0</v>
      </c>
      <c r="N40" s="19" t="s">
        <v>113</v>
      </c>
      <c r="O40" s="19" t="s">
        <v>105</v>
      </c>
      <c r="P40" s="19" t="s">
        <v>103</v>
      </c>
      <c r="Q40" s="19" t="s">
        <v>67</v>
      </c>
      <c r="R40" s="19" t="s">
        <v>138</v>
      </c>
      <c r="S40" s="24" t="s">
        <v>107</v>
      </c>
    </row>
    <row r="41" spans="1:19">
      <c r="A41" s="13">
        <v>31</v>
      </c>
      <c r="B41" s="14">
        <v>38737</v>
      </c>
      <c r="C41" s="15" t="s">
        <v>51</v>
      </c>
      <c r="D41" s="15" t="s">
        <v>62</v>
      </c>
      <c r="E41" s="15" t="s">
        <v>136</v>
      </c>
      <c r="F41" s="16">
        <v>35</v>
      </c>
      <c r="G41" s="13">
        <v>3</v>
      </c>
      <c r="H41" s="13">
        <v>80</v>
      </c>
      <c r="I41" s="13">
        <v>4</v>
      </c>
      <c r="J41" s="13">
        <v>2006</v>
      </c>
      <c r="K41" s="13">
        <v>1</v>
      </c>
      <c r="L41" s="13">
        <v>1</v>
      </c>
      <c r="M41" s="13">
        <v>1</v>
      </c>
      <c r="N41" s="15" t="s">
        <v>126</v>
      </c>
      <c r="O41" s="15" t="s">
        <v>110</v>
      </c>
      <c r="P41" s="15" t="s">
        <v>136</v>
      </c>
      <c r="Q41" s="15" t="s">
        <v>62</v>
      </c>
      <c r="R41" s="15" t="s">
        <v>135</v>
      </c>
      <c r="S41" s="23" t="s">
        <v>107</v>
      </c>
    </row>
    <row r="42" spans="1:19">
      <c r="A42" s="17">
        <v>31</v>
      </c>
      <c r="B42" s="18">
        <v>38737</v>
      </c>
      <c r="C42" s="19" t="s">
        <v>51</v>
      </c>
      <c r="D42" s="19" t="s">
        <v>62</v>
      </c>
      <c r="E42" s="19" t="s">
        <v>111</v>
      </c>
      <c r="F42" s="20">
        <v>530</v>
      </c>
      <c r="G42" s="17">
        <v>3</v>
      </c>
      <c r="H42" s="17">
        <v>51</v>
      </c>
      <c r="I42" s="17">
        <v>4</v>
      </c>
      <c r="J42" s="17">
        <v>2006</v>
      </c>
      <c r="K42" s="17">
        <v>1</v>
      </c>
      <c r="L42" s="17">
        <v>1</v>
      </c>
      <c r="M42" s="17">
        <v>1</v>
      </c>
      <c r="N42" s="19" t="s">
        <v>126</v>
      </c>
      <c r="O42" s="19" t="s">
        <v>110</v>
      </c>
      <c r="P42" s="19" t="s">
        <v>111</v>
      </c>
      <c r="Q42" s="19" t="s">
        <v>62</v>
      </c>
      <c r="R42" s="19" t="s">
        <v>135</v>
      </c>
      <c r="S42" s="24" t="s">
        <v>107</v>
      </c>
    </row>
    <row r="43" spans="1:19">
      <c r="A43" s="13">
        <v>31</v>
      </c>
      <c r="B43" s="14">
        <v>38737</v>
      </c>
      <c r="C43" s="15" t="s">
        <v>51</v>
      </c>
      <c r="D43" s="15" t="s">
        <v>62</v>
      </c>
      <c r="E43" s="15" t="s">
        <v>108</v>
      </c>
      <c r="F43" s="16">
        <v>300</v>
      </c>
      <c r="G43" s="13">
        <v>3</v>
      </c>
      <c r="H43" s="13">
        <v>7</v>
      </c>
      <c r="I43" s="13">
        <v>4</v>
      </c>
      <c r="J43" s="13">
        <v>2006</v>
      </c>
      <c r="K43" s="13">
        <v>1</v>
      </c>
      <c r="L43" s="13">
        <v>1</v>
      </c>
      <c r="M43" s="13">
        <v>1</v>
      </c>
      <c r="N43" s="15" t="s">
        <v>126</v>
      </c>
      <c r="O43" s="15" t="s">
        <v>110</v>
      </c>
      <c r="P43" s="15" t="s">
        <v>108</v>
      </c>
      <c r="Q43" s="15" t="s">
        <v>62</v>
      </c>
      <c r="R43" s="15" t="s">
        <v>135</v>
      </c>
      <c r="S43" s="23" t="s">
        <v>107</v>
      </c>
    </row>
    <row r="44" spans="1:19">
      <c r="A44" s="17">
        <v>58</v>
      </c>
      <c r="B44" s="18">
        <v>38829</v>
      </c>
      <c r="C44" s="19" t="s">
        <v>51</v>
      </c>
      <c r="D44" s="19" t="s">
        <v>62</v>
      </c>
      <c r="E44" s="19" t="s">
        <v>139</v>
      </c>
      <c r="F44" s="20">
        <v>3240</v>
      </c>
      <c r="G44" s="17">
        <v>3</v>
      </c>
      <c r="H44" s="17">
        <v>20</v>
      </c>
      <c r="I44" s="17">
        <v>4</v>
      </c>
      <c r="J44" s="17">
        <v>2006</v>
      </c>
      <c r="K44" s="17">
        <v>4</v>
      </c>
      <c r="L44" s="17">
        <v>2</v>
      </c>
      <c r="M44" s="17">
        <v>1</v>
      </c>
      <c r="N44" s="19" t="s">
        <v>104</v>
      </c>
      <c r="O44" s="19" t="s">
        <v>124</v>
      </c>
      <c r="P44" s="19" t="s">
        <v>139</v>
      </c>
      <c r="Q44" s="19" t="s">
        <v>62</v>
      </c>
      <c r="R44" s="19" t="s">
        <v>135</v>
      </c>
      <c r="S44" s="24" t="s">
        <v>107</v>
      </c>
    </row>
    <row r="45" spans="1:19">
      <c r="A45" s="13">
        <v>58</v>
      </c>
      <c r="B45" s="14">
        <v>38829</v>
      </c>
      <c r="C45" s="15" t="s">
        <v>51</v>
      </c>
      <c r="D45" s="15" t="s">
        <v>62</v>
      </c>
      <c r="E45" s="15" t="s">
        <v>140</v>
      </c>
      <c r="F45" s="16">
        <v>280</v>
      </c>
      <c r="G45" s="13">
        <v>3</v>
      </c>
      <c r="H45" s="13">
        <v>52</v>
      </c>
      <c r="I45" s="13">
        <v>4</v>
      </c>
      <c r="J45" s="13">
        <v>2006</v>
      </c>
      <c r="K45" s="13">
        <v>4</v>
      </c>
      <c r="L45" s="13">
        <v>2</v>
      </c>
      <c r="M45" s="13">
        <v>1</v>
      </c>
      <c r="N45" s="15" t="s">
        <v>104</v>
      </c>
      <c r="O45" s="15" t="s">
        <v>141</v>
      </c>
      <c r="P45" s="15" t="s">
        <v>140</v>
      </c>
      <c r="Q45" s="15" t="s">
        <v>62</v>
      </c>
      <c r="R45" s="15" t="s">
        <v>135</v>
      </c>
      <c r="S45" s="23" t="s">
        <v>107</v>
      </c>
    </row>
    <row r="46" spans="1:19">
      <c r="A46" s="17">
        <v>37</v>
      </c>
      <c r="B46" s="18">
        <v>38782</v>
      </c>
      <c r="C46" s="19" t="s">
        <v>53</v>
      </c>
      <c r="D46" s="19" t="s">
        <v>65</v>
      </c>
      <c r="E46" s="19" t="s">
        <v>142</v>
      </c>
      <c r="F46" s="20">
        <v>680</v>
      </c>
      <c r="G46" s="17">
        <v>8</v>
      </c>
      <c r="H46" s="17">
        <v>8</v>
      </c>
      <c r="I46" s="17">
        <v>6</v>
      </c>
      <c r="J46" s="17">
        <v>2006</v>
      </c>
      <c r="K46" s="17">
        <v>3</v>
      </c>
      <c r="L46" s="17">
        <v>1</v>
      </c>
      <c r="M46" s="17">
        <v>0</v>
      </c>
      <c r="N46" s="19" t="s">
        <v>113</v>
      </c>
      <c r="O46" s="19" t="s">
        <v>143</v>
      </c>
      <c r="P46" s="19" t="s">
        <v>142</v>
      </c>
      <c r="Q46" s="19" t="s">
        <v>65</v>
      </c>
      <c r="R46" s="19" t="s">
        <v>106</v>
      </c>
      <c r="S46" s="24" t="s">
        <v>107</v>
      </c>
    </row>
    <row r="47" spans="1:19">
      <c r="A47" s="13">
        <v>36</v>
      </c>
      <c r="B47" s="14">
        <v>38771</v>
      </c>
      <c r="C47" s="15" t="s">
        <v>55</v>
      </c>
      <c r="D47" s="15" t="s">
        <v>54</v>
      </c>
      <c r="E47" s="15" t="s">
        <v>119</v>
      </c>
      <c r="F47" s="16">
        <v>1930</v>
      </c>
      <c r="G47" s="13">
        <v>4</v>
      </c>
      <c r="H47" s="13">
        <v>41</v>
      </c>
      <c r="I47" s="13">
        <v>3</v>
      </c>
      <c r="J47" s="13">
        <v>2006</v>
      </c>
      <c r="K47" s="13">
        <v>2</v>
      </c>
      <c r="L47" s="13">
        <v>1</v>
      </c>
      <c r="M47" s="13">
        <v>2</v>
      </c>
      <c r="N47" s="15" t="s">
        <v>134</v>
      </c>
      <c r="O47" s="15" t="s">
        <v>120</v>
      </c>
      <c r="P47" s="15" t="s">
        <v>119</v>
      </c>
      <c r="Q47" s="15" t="s">
        <v>54</v>
      </c>
      <c r="R47" s="15" t="s">
        <v>144</v>
      </c>
      <c r="S47" s="23" t="s">
        <v>107</v>
      </c>
    </row>
    <row r="48" spans="1:19">
      <c r="A48" s="17">
        <v>32</v>
      </c>
      <c r="B48" s="18">
        <v>38739</v>
      </c>
      <c r="C48" s="19" t="s">
        <v>55</v>
      </c>
      <c r="D48" s="19" t="s">
        <v>77</v>
      </c>
      <c r="E48" s="19" t="s">
        <v>112</v>
      </c>
      <c r="F48" s="20">
        <v>920</v>
      </c>
      <c r="G48" s="17">
        <v>4</v>
      </c>
      <c r="H48" s="17">
        <v>43</v>
      </c>
      <c r="I48" s="17">
        <v>12</v>
      </c>
      <c r="J48" s="17">
        <v>2006</v>
      </c>
      <c r="K48" s="17">
        <v>1</v>
      </c>
      <c r="L48" s="17">
        <v>1</v>
      </c>
      <c r="M48" s="17">
        <v>1</v>
      </c>
      <c r="N48" s="19" t="s">
        <v>126</v>
      </c>
      <c r="O48" s="19" t="s">
        <v>114</v>
      </c>
      <c r="P48" s="19" t="s">
        <v>112</v>
      </c>
      <c r="Q48" s="19" t="s">
        <v>77</v>
      </c>
      <c r="R48" s="19" t="s">
        <v>127</v>
      </c>
      <c r="S48" s="24" t="s">
        <v>107</v>
      </c>
    </row>
    <row r="49" spans="1:19">
      <c r="A49" s="13">
        <v>32</v>
      </c>
      <c r="B49" s="14">
        <v>38739</v>
      </c>
      <c r="C49" s="15" t="s">
        <v>55</v>
      </c>
      <c r="D49" s="15" t="s">
        <v>77</v>
      </c>
      <c r="E49" s="15" t="s">
        <v>145</v>
      </c>
      <c r="F49" s="16">
        <v>270</v>
      </c>
      <c r="G49" s="13">
        <v>4</v>
      </c>
      <c r="H49" s="13">
        <v>1</v>
      </c>
      <c r="I49" s="13">
        <v>12</v>
      </c>
      <c r="J49" s="13">
        <v>2006</v>
      </c>
      <c r="K49" s="13">
        <v>1</v>
      </c>
      <c r="L49" s="13">
        <v>1</v>
      </c>
      <c r="M49" s="13">
        <v>1</v>
      </c>
      <c r="N49" s="15" t="s">
        <v>126</v>
      </c>
      <c r="O49" s="15" t="s">
        <v>114</v>
      </c>
      <c r="P49" s="15" t="s">
        <v>145</v>
      </c>
      <c r="Q49" s="15" t="s">
        <v>77</v>
      </c>
      <c r="R49" s="15" t="s">
        <v>127</v>
      </c>
      <c r="S49" s="23" t="s">
        <v>107</v>
      </c>
    </row>
    <row r="50" spans="1:19">
      <c r="A50" s="17">
        <v>40</v>
      </c>
      <c r="B50" s="18">
        <v>38800</v>
      </c>
      <c r="C50" s="19" t="s">
        <v>55</v>
      </c>
      <c r="D50" s="19" t="s">
        <v>69</v>
      </c>
      <c r="E50" s="19" t="s">
        <v>146</v>
      </c>
      <c r="F50" s="20">
        <v>598</v>
      </c>
      <c r="G50" s="17">
        <v>4</v>
      </c>
      <c r="H50" s="17">
        <v>81</v>
      </c>
      <c r="I50" s="17">
        <v>10</v>
      </c>
      <c r="J50" s="17">
        <v>2006</v>
      </c>
      <c r="K50" s="17">
        <v>3</v>
      </c>
      <c r="L50" s="17">
        <v>1</v>
      </c>
      <c r="M50" s="17">
        <v>0</v>
      </c>
      <c r="N50" s="19" t="s">
        <v>113</v>
      </c>
      <c r="O50" s="19" t="s">
        <v>114</v>
      </c>
      <c r="P50" s="19" t="s">
        <v>146</v>
      </c>
      <c r="Q50" s="19" t="s">
        <v>69</v>
      </c>
      <c r="R50" s="19" t="s">
        <v>130</v>
      </c>
      <c r="S50" s="24" t="s">
        <v>107</v>
      </c>
    </row>
    <row r="51" spans="1:19">
      <c r="A51" s="13">
        <v>75</v>
      </c>
      <c r="B51" s="14">
        <v>38873</v>
      </c>
      <c r="C51" s="15" t="s">
        <v>55</v>
      </c>
      <c r="D51" s="15" t="s">
        <v>67</v>
      </c>
      <c r="E51" s="15" t="s">
        <v>103</v>
      </c>
      <c r="F51" s="16">
        <v>510</v>
      </c>
      <c r="G51" s="13">
        <v>4</v>
      </c>
      <c r="H51" s="13">
        <v>48</v>
      </c>
      <c r="I51" s="13">
        <v>8</v>
      </c>
      <c r="J51" s="13">
        <v>2006</v>
      </c>
      <c r="K51" s="13">
        <v>6</v>
      </c>
      <c r="L51" s="13">
        <v>2</v>
      </c>
      <c r="M51" s="13">
        <v>0</v>
      </c>
      <c r="N51" s="15" t="s">
        <v>109</v>
      </c>
      <c r="O51" s="15" t="s">
        <v>105</v>
      </c>
      <c r="P51" s="15" t="s">
        <v>103</v>
      </c>
      <c r="Q51" s="15" t="s">
        <v>67</v>
      </c>
      <c r="R51" s="15" t="s">
        <v>138</v>
      </c>
      <c r="S51" s="23" t="s">
        <v>107</v>
      </c>
    </row>
    <row r="52" spans="1:19">
      <c r="A52" s="17">
        <v>63</v>
      </c>
      <c r="B52" s="18">
        <v>38832</v>
      </c>
      <c r="C52" s="19" t="s">
        <v>55</v>
      </c>
      <c r="D52" s="19" t="s">
        <v>54</v>
      </c>
      <c r="E52" s="19" t="s">
        <v>142</v>
      </c>
      <c r="F52" s="20">
        <v>120</v>
      </c>
      <c r="G52" s="17">
        <v>4</v>
      </c>
      <c r="H52" s="17">
        <v>8</v>
      </c>
      <c r="I52" s="17">
        <v>3</v>
      </c>
      <c r="J52" s="17">
        <v>2006</v>
      </c>
      <c r="K52" s="17">
        <v>4</v>
      </c>
      <c r="L52" s="17">
        <v>2</v>
      </c>
      <c r="M52" s="17">
        <v>1</v>
      </c>
      <c r="N52" s="19" t="s">
        <v>104</v>
      </c>
      <c r="O52" s="19" t="s">
        <v>143</v>
      </c>
      <c r="P52" s="19" t="s">
        <v>142</v>
      </c>
      <c r="Q52" s="19" t="s">
        <v>54</v>
      </c>
      <c r="R52" s="19" t="s">
        <v>144</v>
      </c>
      <c r="S52" s="24" t="s">
        <v>107</v>
      </c>
    </row>
    <row r="53" spans="1:19">
      <c r="A53" s="13">
        <v>63</v>
      </c>
      <c r="B53" s="14">
        <v>38832</v>
      </c>
      <c r="C53" s="15" t="s">
        <v>55</v>
      </c>
      <c r="D53" s="15" t="s">
        <v>54</v>
      </c>
      <c r="E53" s="15" t="s">
        <v>147</v>
      </c>
      <c r="F53" s="16">
        <v>500</v>
      </c>
      <c r="G53" s="13">
        <v>4</v>
      </c>
      <c r="H53" s="13">
        <v>3</v>
      </c>
      <c r="I53" s="13">
        <v>3</v>
      </c>
      <c r="J53" s="13">
        <v>2006</v>
      </c>
      <c r="K53" s="13">
        <v>4</v>
      </c>
      <c r="L53" s="13">
        <v>2</v>
      </c>
      <c r="M53" s="13">
        <v>1</v>
      </c>
      <c r="N53" s="15" t="s">
        <v>104</v>
      </c>
      <c r="O53" s="15" t="s">
        <v>129</v>
      </c>
      <c r="P53" s="15" t="s">
        <v>147</v>
      </c>
      <c r="Q53" s="15" t="s">
        <v>54</v>
      </c>
      <c r="R53" s="15" t="s">
        <v>144</v>
      </c>
      <c r="S53" s="23" t="s">
        <v>107</v>
      </c>
    </row>
    <row r="54" spans="1:19">
      <c r="A54" s="17">
        <v>67</v>
      </c>
      <c r="B54" s="18">
        <v>38861</v>
      </c>
      <c r="C54" s="19" t="s">
        <v>55</v>
      </c>
      <c r="D54" s="19" t="s">
        <v>69</v>
      </c>
      <c r="E54" s="19" t="s">
        <v>148</v>
      </c>
      <c r="F54" s="20">
        <v>200</v>
      </c>
      <c r="G54" s="17">
        <v>4</v>
      </c>
      <c r="H54" s="17">
        <v>74</v>
      </c>
      <c r="I54" s="17">
        <v>10</v>
      </c>
      <c r="J54" s="17">
        <v>2006</v>
      </c>
      <c r="K54" s="17">
        <v>5</v>
      </c>
      <c r="L54" s="17">
        <v>2</v>
      </c>
      <c r="M54" s="17">
        <v>2</v>
      </c>
      <c r="N54" s="19" t="s">
        <v>149</v>
      </c>
      <c r="O54" s="19" t="s">
        <v>110</v>
      </c>
      <c r="P54" s="19" t="s">
        <v>148</v>
      </c>
      <c r="Q54" s="19" t="s">
        <v>69</v>
      </c>
      <c r="R54" s="19" t="s">
        <v>130</v>
      </c>
      <c r="S54" s="24" t="s">
        <v>107</v>
      </c>
    </row>
    <row r="55" spans="1:19">
      <c r="A55" s="13">
        <v>48</v>
      </c>
      <c r="B55" s="14">
        <v>38812</v>
      </c>
      <c r="C55" s="15" t="s">
        <v>55</v>
      </c>
      <c r="D55" s="15" t="s">
        <v>67</v>
      </c>
      <c r="E55" s="15" t="s">
        <v>142</v>
      </c>
      <c r="F55" s="16">
        <v>1000</v>
      </c>
      <c r="G55" s="13">
        <v>4</v>
      </c>
      <c r="H55" s="13">
        <v>8</v>
      </c>
      <c r="I55" s="13">
        <v>8</v>
      </c>
      <c r="J55" s="13">
        <v>2006</v>
      </c>
      <c r="K55" s="13">
        <v>4</v>
      </c>
      <c r="L55" s="13">
        <v>2</v>
      </c>
      <c r="M55" s="13">
        <v>1</v>
      </c>
      <c r="N55" s="15" t="s">
        <v>104</v>
      </c>
      <c r="O55" s="15" t="s">
        <v>143</v>
      </c>
      <c r="P55" s="15" t="s">
        <v>142</v>
      </c>
      <c r="Q55" s="15" t="s">
        <v>67</v>
      </c>
      <c r="R55" s="15" t="s">
        <v>138</v>
      </c>
      <c r="S55" s="23" t="s">
        <v>107</v>
      </c>
    </row>
    <row r="56" spans="1:19">
      <c r="A56" s="17">
        <v>48</v>
      </c>
      <c r="B56" s="18">
        <v>38812</v>
      </c>
      <c r="C56" s="19" t="s">
        <v>55</v>
      </c>
      <c r="D56" s="19" t="s">
        <v>67</v>
      </c>
      <c r="E56" s="19" t="s">
        <v>133</v>
      </c>
      <c r="F56" s="20">
        <v>230</v>
      </c>
      <c r="G56" s="17">
        <v>4</v>
      </c>
      <c r="H56" s="17">
        <v>19</v>
      </c>
      <c r="I56" s="17">
        <v>8</v>
      </c>
      <c r="J56" s="17">
        <v>2006</v>
      </c>
      <c r="K56" s="17">
        <v>4</v>
      </c>
      <c r="L56" s="17">
        <v>2</v>
      </c>
      <c r="M56" s="17">
        <v>1</v>
      </c>
      <c r="N56" s="19" t="s">
        <v>104</v>
      </c>
      <c r="O56" s="19" t="s">
        <v>132</v>
      </c>
      <c r="P56" s="19" t="s">
        <v>133</v>
      </c>
      <c r="Q56" s="19" t="s">
        <v>67</v>
      </c>
      <c r="R56" s="19" t="s">
        <v>138</v>
      </c>
      <c r="S56" s="24" t="s">
        <v>107</v>
      </c>
    </row>
    <row r="57" spans="1:19">
      <c r="A57" s="13">
        <v>60</v>
      </c>
      <c r="B57" s="14">
        <v>38837</v>
      </c>
      <c r="C57" s="15" t="s">
        <v>61</v>
      </c>
      <c r="D57" s="15" t="s">
        <v>67</v>
      </c>
      <c r="E57" s="15" t="s">
        <v>150</v>
      </c>
      <c r="F57" s="16">
        <v>1392</v>
      </c>
      <c r="G57" s="13">
        <v>6</v>
      </c>
      <c r="H57" s="13">
        <v>72</v>
      </c>
      <c r="I57" s="13">
        <v>8</v>
      </c>
      <c r="J57" s="13">
        <v>2006</v>
      </c>
      <c r="K57" s="13">
        <v>4</v>
      </c>
      <c r="L57" s="13">
        <v>2</v>
      </c>
      <c r="M57" s="13">
        <v>1</v>
      </c>
      <c r="N57" s="15" t="s">
        <v>104</v>
      </c>
      <c r="O57" s="15" t="s">
        <v>151</v>
      </c>
      <c r="P57" s="15" t="s">
        <v>150</v>
      </c>
      <c r="Q57" s="15" t="s">
        <v>67</v>
      </c>
      <c r="R57" s="15" t="s">
        <v>138</v>
      </c>
      <c r="S57" s="23" t="s">
        <v>107</v>
      </c>
    </row>
    <row r="58" spans="1:19">
      <c r="A58" s="17">
        <v>33</v>
      </c>
      <c r="B58" s="18">
        <v>38747</v>
      </c>
      <c r="C58" s="19" t="s">
        <v>61</v>
      </c>
      <c r="D58" s="19" t="s">
        <v>67</v>
      </c>
      <c r="E58" s="19" t="s">
        <v>133</v>
      </c>
      <c r="F58" s="20">
        <v>276</v>
      </c>
      <c r="G58" s="17">
        <v>6</v>
      </c>
      <c r="H58" s="17">
        <v>19</v>
      </c>
      <c r="I58" s="17">
        <v>8</v>
      </c>
      <c r="J58" s="17">
        <v>2006</v>
      </c>
      <c r="K58" s="17">
        <v>1</v>
      </c>
      <c r="L58" s="17">
        <v>1</v>
      </c>
      <c r="M58" s="17">
        <v>1</v>
      </c>
      <c r="N58" s="19" t="s">
        <v>126</v>
      </c>
      <c r="O58" s="19" t="s">
        <v>132</v>
      </c>
      <c r="P58" s="19" t="s">
        <v>133</v>
      </c>
      <c r="Q58" s="19" t="s">
        <v>67</v>
      </c>
      <c r="R58" s="19" t="s">
        <v>138</v>
      </c>
      <c r="S58" s="24" t="s">
        <v>107</v>
      </c>
    </row>
    <row r="59" spans="1:19">
      <c r="A59" s="13">
        <v>74</v>
      </c>
      <c r="B59" s="14">
        <v>38876</v>
      </c>
      <c r="C59" s="15" t="s">
        <v>61</v>
      </c>
      <c r="D59" s="15" t="s">
        <v>65</v>
      </c>
      <c r="E59" s="15" t="s">
        <v>103</v>
      </c>
      <c r="F59" s="16">
        <v>510</v>
      </c>
      <c r="G59" s="13">
        <v>6</v>
      </c>
      <c r="H59" s="13">
        <v>48</v>
      </c>
      <c r="I59" s="13">
        <v>6</v>
      </c>
      <c r="J59" s="13">
        <v>2006</v>
      </c>
      <c r="K59" s="13">
        <v>6</v>
      </c>
      <c r="L59" s="13">
        <v>2</v>
      </c>
      <c r="M59" s="13">
        <v>0</v>
      </c>
      <c r="N59" s="15" t="s">
        <v>109</v>
      </c>
      <c r="O59" s="15" t="s">
        <v>105</v>
      </c>
      <c r="P59" s="15" t="s">
        <v>103</v>
      </c>
      <c r="Q59" s="15" t="s">
        <v>65</v>
      </c>
      <c r="R59" s="15" t="s">
        <v>106</v>
      </c>
      <c r="S59" s="23" t="s">
        <v>107</v>
      </c>
    </row>
    <row r="60" spans="1:19">
      <c r="A60" s="17">
        <v>47</v>
      </c>
      <c r="B60" s="18">
        <v>38815</v>
      </c>
      <c r="C60" s="19" t="s">
        <v>61</v>
      </c>
      <c r="D60" s="19" t="s">
        <v>65</v>
      </c>
      <c r="E60" s="19" t="s">
        <v>125</v>
      </c>
      <c r="F60" s="20">
        <v>4200</v>
      </c>
      <c r="G60" s="17">
        <v>6</v>
      </c>
      <c r="H60" s="17">
        <v>34</v>
      </c>
      <c r="I60" s="17">
        <v>6</v>
      </c>
      <c r="J60" s="17">
        <v>2006</v>
      </c>
      <c r="K60" s="17">
        <v>4</v>
      </c>
      <c r="L60" s="17">
        <v>2</v>
      </c>
      <c r="M60" s="17">
        <v>1</v>
      </c>
      <c r="N60" s="19" t="s">
        <v>104</v>
      </c>
      <c r="O60" s="19" t="s">
        <v>114</v>
      </c>
      <c r="P60" s="19" t="s">
        <v>125</v>
      </c>
      <c r="Q60" s="19" t="s">
        <v>65</v>
      </c>
      <c r="R60" s="19" t="s">
        <v>106</v>
      </c>
      <c r="S60" s="24" t="s">
        <v>107</v>
      </c>
    </row>
    <row r="61" spans="1:19">
      <c r="A61" s="13">
        <v>55</v>
      </c>
      <c r="B61" s="14">
        <v>38812</v>
      </c>
      <c r="C61" s="15" t="s">
        <v>64</v>
      </c>
      <c r="D61" s="15" t="s">
        <v>56</v>
      </c>
      <c r="E61" s="15" t="s">
        <v>125</v>
      </c>
      <c r="F61" s="16">
        <v>1218</v>
      </c>
      <c r="G61" s="13">
        <v>1</v>
      </c>
      <c r="H61" s="13">
        <v>34</v>
      </c>
      <c r="I61" s="13">
        <v>29</v>
      </c>
      <c r="J61" s="13">
        <v>2006</v>
      </c>
      <c r="K61" s="13">
        <v>4</v>
      </c>
      <c r="L61" s="13">
        <v>2</v>
      </c>
      <c r="M61" s="13">
        <v>1</v>
      </c>
      <c r="N61" s="15" t="s">
        <v>104</v>
      </c>
      <c r="O61" s="15" t="s">
        <v>114</v>
      </c>
      <c r="P61" s="15" t="s">
        <v>125</v>
      </c>
      <c r="Q61" s="15" t="s">
        <v>56</v>
      </c>
      <c r="R61" s="15" t="s">
        <v>137</v>
      </c>
      <c r="S61" s="23" t="s">
        <v>107</v>
      </c>
    </row>
    <row r="62" spans="1:19">
      <c r="A62" s="17">
        <v>78</v>
      </c>
      <c r="B62" s="18">
        <v>38873</v>
      </c>
      <c r="C62" s="19" t="s">
        <v>64</v>
      </c>
      <c r="D62" s="19" t="s">
        <v>56</v>
      </c>
      <c r="E62" s="19" t="s">
        <v>152</v>
      </c>
      <c r="F62" s="20">
        <v>1560</v>
      </c>
      <c r="G62" s="17">
        <v>1</v>
      </c>
      <c r="H62" s="17">
        <v>17</v>
      </c>
      <c r="I62" s="17">
        <v>29</v>
      </c>
      <c r="J62" s="17">
        <v>2006</v>
      </c>
      <c r="K62" s="17">
        <v>6</v>
      </c>
      <c r="L62" s="17">
        <v>2</v>
      </c>
      <c r="M62" s="17">
        <v>0</v>
      </c>
      <c r="N62" s="19" t="s">
        <v>109</v>
      </c>
      <c r="O62" s="19" t="s">
        <v>153</v>
      </c>
      <c r="P62" s="19" t="s">
        <v>152</v>
      </c>
      <c r="Q62" s="19" t="s">
        <v>56</v>
      </c>
      <c r="R62" s="19" t="s">
        <v>137</v>
      </c>
      <c r="S62" s="24" t="s">
        <v>107</v>
      </c>
    </row>
    <row r="63" spans="1:19">
      <c r="A63" s="13">
        <v>42</v>
      </c>
      <c r="B63" s="14">
        <v>38800</v>
      </c>
      <c r="C63" s="15" t="s">
        <v>64</v>
      </c>
      <c r="D63" s="15" t="s">
        <v>69</v>
      </c>
      <c r="E63" s="15" t="s">
        <v>123</v>
      </c>
      <c r="F63" s="16">
        <v>250</v>
      </c>
      <c r="G63" s="13">
        <v>1</v>
      </c>
      <c r="H63" s="13">
        <v>6</v>
      </c>
      <c r="I63" s="13">
        <v>10</v>
      </c>
      <c r="J63" s="13">
        <v>2006</v>
      </c>
      <c r="K63" s="13">
        <v>3</v>
      </c>
      <c r="L63" s="13">
        <v>1</v>
      </c>
      <c r="M63" s="13">
        <v>0</v>
      </c>
      <c r="N63" s="15" t="s">
        <v>113</v>
      </c>
      <c r="O63" s="15" t="s">
        <v>124</v>
      </c>
      <c r="P63" s="15" t="s">
        <v>123</v>
      </c>
      <c r="Q63" s="15" t="s">
        <v>69</v>
      </c>
      <c r="R63" s="15" t="s">
        <v>130</v>
      </c>
      <c r="S63" s="23" t="s">
        <v>107</v>
      </c>
    </row>
    <row r="64" spans="1:19">
      <c r="A64" s="17">
        <v>42</v>
      </c>
      <c r="B64" s="18">
        <v>38800</v>
      </c>
      <c r="C64" s="19" t="s">
        <v>64</v>
      </c>
      <c r="D64" s="19" t="s">
        <v>69</v>
      </c>
      <c r="E64" s="19" t="s">
        <v>128</v>
      </c>
      <c r="F64" s="20">
        <v>220</v>
      </c>
      <c r="G64" s="17">
        <v>1</v>
      </c>
      <c r="H64" s="17">
        <v>4</v>
      </c>
      <c r="I64" s="17">
        <v>10</v>
      </c>
      <c r="J64" s="17">
        <v>2006</v>
      </c>
      <c r="K64" s="17">
        <v>3</v>
      </c>
      <c r="L64" s="17">
        <v>1</v>
      </c>
      <c r="M64" s="17">
        <v>0</v>
      </c>
      <c r="N64" s="19" t="s">
        <v>113</v>
      </c>
      <c r="O64" s="19" t="s">
        <v>129</v>
      </c>
      <c r="P64" s="19" t="s">
        <v>128</v>
      </c>
      <c r="Q64" s="19" t="s">
        <v>69</v>
      </c>
      <c r="R64" s="19" t="s">
        <v>130</v>
      </c>
      <c r="S64" s="24" t="s">
        <v>107</v>
      </c>
    </row>
    <row r="65" spans="1:19">
      <c r="A65" s="13">
        <v>42</v>
      </c>
      <c r="B65" s="14">
        <v>38800</v>
      </c>
      <c r="C65" s="15" t="s">
        <v>64</v>
      </c>
      <c r="D65" s="15" t="s">
        <v>69</v>
      </c>
      <c r="E65" s="15" t="s">
        <v>133</v>
      </c>
      <c r="F65" s="16">
        <v>92</v>
      </c>
      <c r="G65" s="13">
        <v>1</v>
      </c>
      <c r="H65" s="13">
        <v>19</v>
      </c>
      <c r="I65" s="13">
        <v>10</v>
      </c>
      <c r="J65" s="13">
        <v>2006</v>
      </c>
      <c r="K65" s="13">
        <v>3</v>
      </c>
      <c r="L65" s="13">
        <v>1</v>
      </c>
      <c r="M65" s="13">
        <v>0</v>
      </c>
      <c r="N65" s="15" t="s">
        <v>113</v>
      </c>
      <c r="O65" s="15" t="s">
        <v>132</v>
      </c>
      <c r="P65" s="15" t="s">
        <v>133</v>
      </c>
      <c r="Q65" s="15" t="s">
        <v>69</v>
      </c>
      <c r="R65" s="15" t="s">
        <v>130</v>
      </c>
      <c r="S65" s="23" t="s">
        <v>107</v>
      </c>
    </row>
    <row r="66" spans="1:19">
      <c r="A66" s="17">
        <v>72</v>
      </c>
      <c r="B66" s="18">
        <v>38875</v>
      </c>
      <c r="C66" s="19" t="s">
        <v>64</v>
      </c>
      <c r="D66" s="19" t="s">
        <v>52</v>
      </c>
      <c r="E66" s="19" t="s">
        <v>112</v>
      </c>
      <c r="F66" s="20">
        <v>230</v>
      </c>
      <c r="G66" s="17">
        <v>1</v>
      </c>
      <c r="H66" s="17">
        <v>43</v>
      </c>
      <c r="I66" s="17">
        <v>28</v>
      </c>
      <c r="J66" s="17">
        <v>2006</v>
      </c>
      <c r="K66" s="17">
        <v>6</v>
      </c>
      <c r="L66" s="17">
        <v>2</v>
      </c>
      <c r="M66" s="17">
        <v>0</v>
      </c>
      <c r="N66" s="19" t="s">
        <v>109</v>
      </c>
      <c r="O66" s="19" t="s">
        <v>114</v>
      </c>
      <c r="P66" s="19" t="s">
        <v>112</v>
      </c>
      <c r="Q66" s="19" t="s">
        <v>52</v>
      </c>
      <c r="R66" s="19" t="s">
        <v>115</v>
      </c>
      <c r="S66" s="24" t="s">
        <v>107</v>
      </c>
    </row>
    <row r="67" spans="1:19">
      <c r="A67" s="13">
        <v>71</v>
      </c>
      <c r="B67" s="14">
        <v>38861</v>
      </c>
      <c r="C67" s="15" t="s">
        <v>64</v>
      </c>
      <c r="D67" s="15" t="s">
        <v>48</v>
      </c>
      <c r="E67" s="15" t="s">
        <v>121</v>
      </c>
      <c r="F67" s="16">
        <v>736</v>
      </c>
      <c r="G67" s="13">
        <v>1</v>
      </c>
      <c r="H67" s="13">
        <v>40</v>
      </c>
      <c r="I67" s="13">
        <v>1</v>
      </c>
      <c r="J67" s="13">
        <v>2006</v>
      </c>
      <c r="K67" s="13">
        <v>5</v>
      </c>
      <c r="L67" s="13">
        <v>2</v>
      </c>
      <c r="M67" s="13">
        <v>2</v>
      </c>
      <c r="N67" s="15" t="s">
        <v>149</v>
      </c>
      <c r="O67" s="15" t="s">
        <v>122</v>
      </c>
      <c r="P67" s="15" t="s">
        <v>121</v>
      </c>
      <c r="Q67" s="15" t="s">
        <v>48</v>
      </c>
      <c r="R67" s="15" t="s">
        <v>154</v>
      </c>
      <c r="S67" s="23" t="s">
        <v>107</v>
      </c>
    </row>
    <row r="68" spans="1:19">
      <c r="A68" s="17">
        <v>45</v>
      </c>
      <c r="B68" s="18">
        <v>38814</v>
      </c>
      <c r="C68" s="19" t="s">
        <v>64</v>
      </c>
      <c r="D68" s="19" t="s">
        <v>52</v>
      </c>
      <c r="E68" s="19" t="s">
        <v>119</v>
      </c>
      <c r="F68" s="20">
        <v>482.5</v>
      </c>
      <c r="G68" s="17">
        <v>1</v>
      </c>
      <c r="H68" s="17">
        <v>41</v>
      </c>
      <c r="I68" s="17">
        <v>28</v>
      </c>
      <c r="J68" s="17">
        <v>2006</v>
      </c>
      <c r="K68" s="17">
        <v>4</v>
      </c>
      <c r="L68" s="17">
        <v>2</v>
      </c>
      <c r="M68" s="17">
        <v>1</v>
      </c>
      <c r="N68" s="19" t="s">
        <v>104</v>
      </c>
      <c r="O68" s="19" t="s">
        <v>120</v>
      </c>
      <c r="P68" s="19" t="s">
        <v>119</v>
      </c>
      <c r="Q68" s="19" t="s">
        <v>52</v>
      </c>
      <c r="R68" s="19" t="s">
        <v>115</v>
      </c>
      <c r="S68" s="24" t="s">
        <v>107</v>
      </c>
    </row>
    <row r="69" spans="1:19">
      <c r="A69" s="13">
        <v>70</v>
      </c>
      <c r="B69" s="14">
        <v>38861</v>
      </c>
      <c r="C69" s="15" t="s">
        <v>64</v>
      </c>
      <c r="D69" s="15" t="s">
        <v>75</v>
      </c>
      <c r="E69" s="15" t="s">
        <v>142</v>
      </c>
      <c r="F69" s="16">
        <v>800</v>
      </c>
      <c r="G69" s="13">
        <v>1</v>
      </c>
      <c r="H69" s="13">
        <v>8</v>
      </c>
      <c r="I69" s="13">
        <v>11</v>
      </c>
      <c r="J69" s="13">
        <v>2006</v>
      </c>
      <c r="K69" s="13">
        <v>5</v>
      </c>
      <c r="L69" s="13">
        <v>2</v>
      </c>
      <c r="M69" s="13">
        <v>2</v>
      </c>
      <c r="N69" s="15" t="s">
        <v>149</v>
      </c>
      <c r="O69" s="15" t="s">
        <v>143</v>
      </c>
      <c r="P69" s="15" t="s">
        <v>142</v>
      </c>
      <c r="Q69" s="15" t="s">
        <v>75</v>
      </c>
      <c r="R69" s="15" t="s">
        <v>118</v>
      </c>
      <c r="S69" s="23" t="s">
        <v>107</v>
      </c>
    </row>
    <row r="70" spans="1:19">
      <c r="A70" s="17">
        <v>69</v>
      </c>
      <c r="B70" s="18">
        <v>38861</v>
      </c>
      <c r="C70" s="19" t="s">
        <v>64</v>
      </c>
      <c r="D70" s="19" t="s">
        <v>69</v>
      </c>
      <c r="E70" s="19" t="s">
        <v>136</v>
      </c>
      <c r="F70" s="20">
        <v>52.5</v>
      </c>
      <c r="G70" s="17">
        <v>1</v>
      </c>
      <c r="H70" s="17">
        <v>80</v>
      </c>
      <c r="I70" s="17">
        <v>10</v>
      </c>
      <c r="J70" s="17">
        <v>2006</v>
      </c>
      <c r="K70" s="17">
        <v>5</v>
      </c>
      <c r="L70" s="17">
        <v>2</v>
      </c>
      <c r="M70" s="17">
        <v>2</v>
      </c>
      <c r="N70" s="19" t="s">
        <v>149</v>
      </c>
      <c r="O70" s="19" t="s">
        <v>110</v>
      </c>
      <c r="P70" s="19" t="s">
        <v>136</v>
      </c>
      <c r="Q70" s="19" t="s">
        <v>69</v>
      </c>
      <c r="R70" s="19" t="s">
        <v>130</v>
      </c>
      <c r="S70" s="24" t="s">
        <v>107</v>
      </c>
    </row>
    <row r="71" spans="1:19">
      <c r="A71" s="13">
        <v>45</v>
      </c>
      <c r="B71" s="14">
        <v>38814</v>
      </c>
      <c r="C71" s="15" t="s">
        <v>64</v>
      </c>
      <c r="D71" s="15" t="s">
        <v>52</v>
      </c>
      <c r="E71" s="15" t="s">
        <v>121</v>
      </c>
      <c r="F71" s="16">
        <v>920</v>
      </c>
      <c r="G71" s="13">
        <v>1</v>
      </c>
      <c r="H71" s="13">
        <v>40</v>
      </c>
      <c r="I71" s="13">
        <v>28</v>
      </c>
      <c r="J71" s="13">
        <v>2006</v>
      </c>
      <c r="K71" s="13">
        <v>4</v>
      </c>
      <c r="L71" s="13">
        <v>2</v>
      </c>
      <c r="M71" s="13">
        <v>1</v>
      </c>
      <c r="N71" s="15" t="s">
        <v>104</v>
      </c>
      <c r="O71" s="15" t="s">
        <v>122</v>
      </c>
      <c r="P71" s="15" t="s">
        <v>121</v>
      </c>
      <c r="Q71" s="15" t="s">
        <v>52</v>
      </c>
      <c r="R71" s="15" t="s">
        <v>115</v>
      </c>
      <c r="S71" s="23" t="s">
        <v>107</v>
      </c>
    </row>
    <row r="72" spans="1:19">
      <c r="A72" s="17">
        <v>46</v>
      </c>
      <c r="B72" s="18">
        <v>38812</v>
      </c>
      <c r="C72" s="19" t="s">
        <v>66</v>
      </c>
      <c r="D72" s="19" t="s">
        <v>68</v>
      </c>
      <c r="E72" s="19" t="s">
        <v>155</v>
      </c>
      <c r="F72" s="20">
        <v>1950</v>
      </c>
      <c r="G72" s="17">
        <v>7</v>
      </c>
      <c r="H72" s="17">
        <v>57</v>
      </c>
      <c r="I72" s="17">
        <v>9</v>
      </c>
      <c r="J72" s="17">
        <v>2006</v>
      </c>
      <c r="K72" s="17">
        <v>4</v>
      </c>
      <c r="L72" s="17">
        <v>2</v>
      </c>
      <c r="M72" s="17">
        <v>1</v>
      </c>
      <c r="N72" s="19" t="s">
        <v>104</v>
      </c>
      <c r="O72" s="19" t="s">
        <v>156</v>
      </c>
      <c r="P72" s="19" t="s">
        <v>155</v>
      </c>
      <c r="Q72" s="19" t="s">
        <v>68</v>
      </c>
      <c r="R72" s="19" t="s">
        <v>157</v>
      </c>
      <c r="S72" s="24" t="s">
        <v>107</v>
      </c>
    </row>
    <row r="73" spans="1:19">
      <c r="A73" s="13">
        <v>46</v>
      </c>
      <c r="B73" s="14">
        <v>38812</v>
      </c>
      <c r="C73" s="15" t="s">
        <v>66</v>
      </c>
      <c r="D73" s="15" t="s">
        <v>68</v>
      </c>
      <c r="E73" s="15" t="s">
        <v>150</v>
      </c>
      <c r="F73" s="16">
        <v>1740</v>
      </c>
      <c r="G73" s="13">
        <v>7</v>
      </c>
      <c r="H73" s="13">
        <v>72</v>
      </c>
      <c r="I73" s="13">
        <v>9</v>
      </c>
      <c r="J73" s="13">
        <v>2006</v>
      </c>
      <c r="K73" s="13">
        <v>4</v>
      </c>
      <c r="L73" s="13">
        <v>2</v>
      </c>
      <c r="M73" s="13">
        <v>1</v>
      </c>
      <c r="N73" s="15" t="s">
        <v>104</v>
      </c>
      <c r="O73" s="15" t="s">
        <v>151</v>
      </c>
      <c r="P73" s="15" t="s">
        <v>150</v>
      </c>
      <c r="Q73" s="15" t="s">
        <v>68</v>
      </c>
      <c r="R73" s="15" t="s">
        <v>157</v>
      </c>
      <c r="S73" s="23" t="s">
        <v>107</v>
      </c>
    </row>
    <row r="74" spans="1:19">
      <c r="A74" s="25">
        <v>73</v>
      </c>
      <c r="B74" s="26">
        <v>38873</v>
      </c>
      <c r="C74" s="27" t="s">
        <v>66</v>
      </c>
      <c r="D74" s="27" t="s">
        <v>68</v>
      </c>
      <c r="E74" s="27" t="s">
        <v>119</v>
      </c>
      <c r="F74" s="28">
        <v>96.5</v>
      </c>
      <c r="G74" s="25">
        <v>7</v>
      </c>
      <c r="H74" s="25">
        <v>41</v>
      </c>
      <c r="I74" s="25">
        <v>9</v>
      </c>
      <c r="J74" s="25">
        <v>2006</v>
      </c>
      <c r="K74" s="25">
        <v>6</v>
      </c>
      <c r="L74" s="25">
        <v>2</v>
      </c>
      <c r="M74" s="25">
        <v>0</v>
      </c>
      <c r="N74" s="27" t="s">
        <v>109</v>
      </c>
      <c r="O74" s="27" t="s">
        <v>120</v>
      </c>
      <c r="P74" s="27" t="s">
        <v>119</v>
      </c>
      <c r="Q74" s="27" t="s">
        <v>68</v>
      </c>
      <c r="R74" s="27" t="s">
        <v>157</v>
      </c>
      <c r="S74" s="29" t="s">
        <v>107</v>
      </c>
    </row>
  </sheetData>
  <sortState ref="AC2:AC15">
    <sortCondition ref="AC5"/>
  </sortState>
  <dataValidations count="2">
    <dataValidation type="list" allowBlank="1" showInputMessage="1" showErrorMessage="1" sqref="B13 B18">
      <formula1>$AA$2:$AA$9</formula1>
    </dataValidation>
    <dataValidation type="list" allowBlank="1" showInputMessage="1" showErrorMessage="1" sqref="B19">
      <formula1>$AC$2:$AC$15</formula1>
    </dataValidation>
  </dataValidations>
  <pageMargins left="0.7" right="0.7" top="0.75" bottom="0.75" header="0.3" footer="0.3"/>
  <pageSetup paperSize="1" orientation="portrait" verticalDpi="3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2304051-8420-40F2-BB4F-E36190144F17}">
  <ds:schemaRefs/>
</ds:datastoreItem>
</file>

<file path=customXml/itemProps2.xml><?xml version="1.0" encoding="utf-8"?>
<ds:datastoreItem xmlns:ds="http://schemas.openxmlformats.org/officeDocument/2006/customXml" ds:itemID="{D368D81D-EBC5-4544-869E-A9D9D16E2519}">
  <ds:schemaRefs/>
</ds:datastoreItem>
</file>

<file path=customXml/itemProps3.xml><?xml version="1.0" encoding="utf-8"?>
<ds:datastoreItem xmlns:ds="http://schemas.openxmlformats.org/officeDocument/2006/customXml" ds:itemID="{A160C13A-D516-4D55-87AC-D776E8FDCAF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FormulaBasics</vt:lpstr>
      <vt:lpstr>FunctionBuilder</vt:lpstr>
      <vt:lpstr>AbsoluteReferences</vt:lpstr>
      <vt:lpstr>NamedRanges</vt:lpstr>
      <vt:lpstr>Aggregation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USER</cp:lastModifiedBy>
  <dcterms:created xsi:type="dcterms:W3CDTF">2010-02-13T16:22:00Z</dcterms:created>
  <dcterms:modified xsi:type="dcterms:W3CDTF">2025-03-05T15:26:00Z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0x010100F4C2CE9F4E8C7D4EB1AB649EEF4E32D3</vt:lpwstr>
  </property>
  <property fmtid="{D5CDD505-2E9C-101B-9397-08002B2CF9AE}" pid="3" name="ICV">
    <vt:lpwstr>49F1362E17C9485F818DB6BA3499EA27_12</vt:lpwstr>
  </property>
  <property fmtid="{D5CDD505-2E9C-101B-9397-08002B2CF9AE}" pid="4" name="KSOProductBuildVer">
    <vt:lpwstr>1033-12.2.0.20323</vt:lpwstr>
  </property>
</Properties>
</file>