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460" windowHeight="7050" tabRatio="583" firstSheet="6" activeTab="1"/>
  </bookViews>
  <sheets>
    <sheet name="TextFunctions" sheetId="3" r:id="rId1"/>
    <sheet name="TextToColumns" sheetId="4" r:id="rId2"/>
    <sheet name="RemoveDuplicates" sheetId="2" r:id="rId3"/>
    <sheet name="IF_And_Or" sheetId="1" r:id="rId4"/>
    <sheet name="Conditional Formatting" sheetId="7" state="hidden" r:id="rId5"/>
    <sheet name="Lookups" sheetId="5" r:id="rId6"/>
    <sheet name="Index Match" sheetId="8" r:id="rId7"/>
    <sheet name="RawData" sheetId="6" r:id="rId8"/>
  </sheets>
  <definedNames>
    <definedName name="RawData">RawData!$A$1:$G$1362</definedName>
    <definedName name="RawDataCompany">RawData!$A$2:$A$1362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<sst xmlns="http://schemas.openxmlformats.org/spreadsheetml/2006/main" count="8839" uniqueCount="3244">
  <si>
    <t>Left</t>
  </si>
  <si>
    <t>Function</t>
  </si>
  <si>
    <t>Applicable to :</t>
  </si>
  <si>
    <t>Seperating Names ("Tom Hinkle")</t>
  </si>
  <si>
    <t>Arguments</t>
  </si>
  <si>
    <t>Text</t>
  </si>
  <si>
    <t>NC-1212121</t>
  </si>
  <si>
    <t>Number</t>
  </si>
  <si>
    <t>Right</t>
  </si>
  <si>
    <t>2228 Viking Drive, Columbus, OH 25251</t>
  </si>
  <si>
    <t>Mid</t>
  </si>
  <si>
    <t>Applicable to</t>
  </si>
  <si>
    <t>Removing a Piece of text from a string</t>
  </si>
  <si>
    <t>(Good to partner with find)</t>
  </si>
  <si>
    <t>Start</t>
  </si>
  <si>
    <t>Num_chars</t>
  </si>
  <si>
    <t>Len</t>
  </si>
  <si>
    <t>Extra</t>
  </si>
  <si>
    <t>Find</t>
  </si>
  <si>
    <t>useful to pull out data from inside a string</t>
  </si>
  <si>
    <t>Find_Text</t>
  </si>
  <si>
    <t>Drive</t>
  </si>
  <si>
    <t>Within_Text</t>
  </si>
  <si>
    <t>Trim</t>
  </si>
  <si>
    <t xml:space="preserve">   This Text     Contains a       LOT of extra space       .        </t>
  </si>
  <si>
    <t>Upper, Lower, Proper Case</t>
  </si>
  <si>
    <t>ThIS sentEnce HAS all KiNdS of InCONsisTant formatting.</t>
  </si>
  <si>
    <t>Upper</t>
  </si>
  <si>
    <t>Lower</t>
  </si>
  <si>
    <t>Proper</t>
  </si>
  <si>
    <t>Concatenate</t>
  </si>
  <si>
    <t>Ampersand (&amp;)</t>
  </si>
  <si>
    <t xml:space="preserve"> </t>
  </si>
  <si>
    <t>Text1</t>
  </si>
  <si>
    <t>2228 Viking Drive</t>
  </si>
  <si>
    <t>Text2</t>
  </si>
  <si>
    <t>Columbus</t>
  </si>
  <si>
    <t>Text3</t>
  </si>
  <si>
    <t>OH 25251</t>
  </si>
  <si>
    <t>Clean</t>
  </si>
  <si>
    <t>This has a non-printable character.
Another Line.</t>
  </si>
  <si>
    <t>Exact</t>
  </si>
  <si>
    <t>Value</t>
  </si>
  <si>
    <t>537</t>
  </si>
  <si>
    <t>Bonus: Bahttext</t>
  </si>
  <si>
    <t>BahtText</t>
  </si>
  <si>
    <t>Fixed Width</t>
  </si>
  <si>
    <t>Delimited</t>
  </si>
  <si>
    <t>123 1st Street</t>
  </si>
  <si>
    <t>Pittsburgh</t>
  </si>
  <si>
    <t>PA</t>
  </si>
  <si>
    <t>123 2nd Street</t>
  </si>
  <si>
    <t>New York</t>
  </si>
  <si>
    <t>NY</t>
  </si>
  <si>
    <t>123 3rd Street</t>
  </si>
  <si>
    <t>Philadephia</t>
  </si>
  <si>
    <t>123 4th Street</t>
  </si>
  <si>
    <t>Seattle</t>
  </si>
  <si>
    <t>WA</t>
  </si>
  <si>
    <t>123 5th Street</t>
  </si>
  <si>
    <t>Washington</t>
  </si>
  <si>
    <t>DC</t>
  </si>
  <si>
    <t>123 6th Street</t>
  </si>
  <si>
    <t>Charleston</t>
  </si>
  <si>
    <t>SC</t>
  </si>
  <si>
    <t>123 7th Street</t>
  </si>
  <si>
    <t>Des Moines</t>
  </si>
  <si>
    <t>IA</t>
  </si>
  <si>
    <t>123 8th Street</t>
  </si>
  <si>
    <t>Chicago</t>
  </si>
  <si>
    <t>IL</t>
  </si>
  <si>
    <t>123 9th Street</t>
  </si>
  <si>
    <t>Baltimore</t>
  </si>
  <si>
    <t>MD</t>
  </si>
  <si>
    <t>123 10th Street</t>
  </si>
  <si>
    <t>Minneapolis</t>
  </si>
  <si>
    <t>MN</t>
  </si>
  <si>
    <t>123 11th Street</t>
  </si>
  <si>
    <t>New Orleans</t>
  </si>
  <si>
    <t>LA</t>
  </si>
  <si>
    <t>123 12th Street</t>
  </si>
  <si>
    <t>Palm Springs</t>
  </si>
  <si>
    <t>CA</t>
  </si>
  <si>
    <t>456 13th Street</t>
  </si>
  <si>
    <t>San Francisco</t>
  </si>
  <si>
    <t>456 14th Street</t>
  </si>
  <si>
    <t>Ann Arbor</t>
  </si>
  <si>
    <t>MI</t>
  </si>
  <si>
    <t>456 15th Street</t>
  </si>
  <si>
    <t>Denver</t>
  </si>
  <si>
    <t>CO</t>
  </si>
  <si>
    <t>456 16th Street</t>
  </si>
  <si>
    <t>Burbank</t>
  </si>
  <si>
    <t>Street Address</t>
  </si>
  <si>
    <t xml:space="preserve"> City</t>
  </si>
  <si>
    <t>State</t>
  </si>
  <si>
    <t>ZIP</t>
  </si>
  <si>
    <t xml:space="preserve"> Pittsburgh</t>
  </si>
  <si>
    <t xml:space="preserve"> New York</t>
  </si>
  <si>
    <t xml:space="preserve"> Philadephia</t>
  </si>
  <si>
    <t xml:space="preserve"> Seattle</t>
  </si>
  <si>
    <t xml:space="preserve"> Washington</t>
  </si>
  <si>
    <t xml:space="preserve"> Charleston</t>
  </si>
  <si>
    <t xml:space="preserve"> Des Moines</t>
  </si>
  <si>
    <t xml:space="preserve"> Chicago</t>
  </si>
  <si>
    <t xml:space="preserve"> Baltimore</t>
  </si>
  <si>
    <t xml:space="preserve"> Minneapolis</t>
  </si>
  <si>
    <t xml:space="preserve"> New Orleans</t>
  </si>
  <si>
    <t xml:space="preserve"> Palm Springs</t>
  </si>
  <si>
    <t xml:space="preserve"> San Francisco</t>
  </si>
  <si>
    <t xml:space="preserve"> Ann Arbor</t>
  </si>
  <si>
    <t xml:space="preserve"> Denver</t>
  </si>
  <si>
    <t xml:space="preserve"> Burbank</t>
  </si>
  <si>
    <t>Employee</t>
  </si>
  <si>
    <t>Customer Name</t>
  </si>
  <si>
    <t>Andrew Cencini</t>
  </si>
  <si>
    <t>Company F</t>
  </si>
  <si>
    <t>Anne Hellung-Larsen</t>
  </si>
  <si>
    <t>Company BB</t>
  </si>
  <si>
    <t>Company Z</t>
  </si>
  <si>
    <t>Company AA</t>
  </si>
  <si>
    <t>Company Y</t>
  </si>
  <si>
    <t>Company D</t>
  </si>
  <si>
    <t>Jan Kotas</t>
  </si>
  <si>
    <t>Company CC</t>
  </si>
  <si>
    <t>Company H</t>
  </si>
  <si>
    <t>Laura Giussani</t>
  </si>
  <si>
    <t>Mariya Sergienko</t>
  </si>
  <si>
    <t>Company C</t>
  </si>
  <si>
    <t>Company L</t>
  </si>
  <si>
    <t>Company J</t>
  </si>
  <si>
    <t>Michael Neipper</t>
  </si>
  <si>
    <t>Nancy Freehafer</t>
  </si>
  <si>
    <t>Company A</t>
  </si>
  <si>
    <t>Company K</t>
  </si>
  <si>
    <t>Robert Zare</t>
  </si>
  <si>
    <t>Company I</t>
  </si>
  <si>
    <t>IF Statements</t>
  </si>
  <si>
    <t>Name</t>
  </si>
  <si>
    <t>Knows Excel</t>
  </si>
  <si>
    <t>Knows Word</t>
  </si>
  <si>
    <t>and</t>
  </si>
  <si>
    <t>or</t>
  </si>
  <si>
    <t>Knows Both</t>
  </si>
  <si>
    <t>Knows One</t>
  </si>
  <si>
    <t>Jen</t>
  </si>
  <si>
    <t>no</t>
  </si>
  <si>
    <t>No</t>
  </si>
  <si>
    <t>Alex</t>
  </si>
  <si>
    <t>Yes</t>
  </si>
  <si>
    <t>Beth</t>
  </si>
  <si>
    <t>yes</t>
  </si>
  <si>
    <t>Mike</t>
  </si>
  <si>
    <t>David</t>
  </si>
  <si>
    <t>Alison</t>
  </si>
  <si>
    <t>Sarah</t>
  </si>
  <si>
    <t>Jessica</t>
  </si>
  <si>
    <t>Roger</t>
  </si>
  <si>
    <t>Eric</t>
  </si>
  <si>
    <t>AND</t>
  </si>
  <si>
    <t>True if ALL conditions are true</t>
  </si>
  <si>
    <t>A</t>
  </si>
  <si>
    <t>B</t>
  </si>
  <si>
    <t>OR</t>
  </si>
  <si>
    <t>True if ONE of the conditions is true</t>
  </si>
  <si>
    <t>Setting a Rule</t>
  </si>
  <si>
    <t>Managing Rules</t>
  </si>
  <si>
    <t>Data Bars</t>
  </si>
  <si>
    <t>Icon Sets</t>
  </si>
  <si>
    <t>Client Name</t>
  </si>
  <si>
    <t>Client Bill Rate (per hour)</t>
  </si>
  <si>
    <t>New Bill Rates</t>
  </si>
  <si>
    <t>Ernst &amp; Old</t>
  </si>
  <si>
    <t>Cost Liquidhome Coopers</t>
  </si>
  <si>
    <t>GMPK Inc.</t>
  </si>
  <si>
    <t>T&amp;D Co.</t>
  </si>
  <si>
    <t>Tiger Stearn</t>
  </si>
  <si>
    <t>Leewoman Sisters</t>
  </si>
  <si>
    <t>Acme Products</t>
  </si>
  <si>
    <t>Widgets Inc.</t>
  </si>
  <si>
    <t>Ok Homes and Gardens</t>
  </si>
  <si>
    <t>xlookup</t>
  </si>
  <si>
    <t>vlookup</t>
  </si>
  <si>
    <t>Xlookup</t>
  </si>
  <si>
    <t>Company</t>
  </si>
  <si>
    <t>CONCORD FIRST ASSEMBLY</t>
  </si>
  <si>
    <t>Number of employees</t>
  </si>
  <si>
    <r>
      <rPr>
        <sz val="11"/>
        <color theme="1"/>
        <rFont val="Calibri"/>
        <charset val="134"/>
        <scheme val="minor"/>
      </rPr>
      <t xml:space="preserve">Range_Lookup = </t>
    </r>
    <r>
      <rPr>
        <sz val="11"/>
        <color rgb="FFFF0000"/>
        <rFont val="Calibri"/>
        <charset val="134"/>
        <scheme val="minor"/>
      </rPr>
      <t>True</t>
    </r>
  </si>
  <si>
    <t>*Will Find closest match</t>
  </si>
  <si>
    <t>TestScore</t>
  </si>
  <si>
    <t>Grade</t>
  </si>
  <si>
    <t>C</t>
  </si>
  <si>
    <t>D</t>
  </si>
  <si>
    <t>F</t>
  </si>
  <si>
    <t>Xlookup- multiple</t>
  </si>
  <si>
    <t>BLOOMSBURG MILLS INC</t>
  </si>
  <si>
    <t>CHAMPION LABORATORIES INC</t>
  </si>
  <si>
    <t>CLASSIC GRAPHICS INC</t>
  </si>
  <si>
    <t>Vlookup</t>
  </si>
  <si>
    <t>Range_Lookup = false</t>
  </si>
  <si>
    <t>* Must be an EXACT match</t>
  </si>
  <si>
    <t>AMESBURY GROUP INC</t>
  </si>
  <si>
    <t>Grading Scale</t>
  </si>
  <si>
    <t>Employee Table</t>
  </si>
  <si>
    <t>NumberOfEmployees</t>
  </si>
  <si>
    <t>ABAC/AMERICAN IMC INC</t>
  </si>
  <si>
    <t>AEROTEK</t>
  </si>
  <si>
    <t>AFFINIA GROUP INC</t>
  </si>
  <si>
    <t>ARROW HOME FASHIONS</t>
  </si>
  <si>
    <t>ARVIN MERITOR INC</t>
  </si>
  <si>
    <t>ATI ALLVAC</t>
  </si>
  <si>
    <t>BARLOWORLD HANDLING LP</t>
  </si>
  <si>
    <t>BESAM AUTOMATED ENTRANCE SYSTEMS</t>
  </si>
  <si>
    <t>BOWERS FIBERS INC</t>
  </si>
  <si>
    <t>BROOKS EQUIPMENT CO INC</t>
  </si>
  <si>
    <t>CABARRUS HEALTH ALLIANCE</t>
  </si>
  <si>
    <t>CANTEEN VENDING SERVICES</t>
  </si>
  <si>
    <t>CARIBOU COFFEE COMPANY</t>
  </si>
  <si>
    <t>CAROLINA DIGESTIVE HEALTH ASSOCIATES</t>
  </si>
  <si>
    <t>CAROLINAS HEALTHCARE SYSTEM</t>
  </si>
  <si>
    <t>CAROMONT HEALTH INC</t>
  </si>
  <si>
    <t>CARPENTER CO</t>
  </si>
  <si>
    <t>CARRINGTON PLACE</t>
  </si>
  <si>
    <t>CATAWBA COLLEGE</t>
  </si>
  <si>
    <t>CATAWBA VALLEY COMMUNITY COLLEGE</t>
  </si>
  <si>
    <t>CHARLOTTE REGIONAL VISITORS AUTHORITY (CRVA)</t>
  </si>
  <si>
    <t>CITY OF MONROE</t>
  </si>
  <si>
    <t>CITY OF NEWTON</t>
  </si>
  <si>
    <t>CITY OF STATESVILLE</t>
  </si>
  <si>
    <t>CMH FLOORING</t>
  </si>
  <si>
    <t>COGENTRIX INC</t>
  </si>
  <si>
    <t>CONTROLS SOUTHEAST INC</t>
  </si>
  <si>
    <t>CRESCENT RESOURCES LLC</t>
  </si>
  <si>
    <t>CTX BUILDERS SUPPLY</t>
  </si>
  <si>
    <t>DARDEN RESTAURANTS INC</t>
  </si>
  <si>
    <t>DAVIS STEEL &amp; IRON CO INC</t>
  </si>
  <si>
    <t>DEAN AND DELUCA</t>
  </si>
  <si>
    <t>DELTA MOLD INC</t>
  </si>
  <si>
    <t>DHL HOLDINGS</t>
  </si>
  <si>
    <t>DICK'S SPORTING GOODS INC</t>
  </si>
  <si>
    <t>EAST COAST NEWSPAPERS INC (THE HERALD)</t>
  </si>
  <si>
    <t>ENGINEERED CONTROLS INTERNATIONAL INC</t>
  </si>
  <si>
    <t>GENERAL DYNAMICS CORP</t>
  </si>
  <si>
    <t>GENERAL MOTORS SERVICE PARTS</t>
  </si>
  <si>
    <t>GOODRICH CORP</t>
  </si>
  <si>
    <t>GOULSTON TECHNOLOGIES INC</t>
  </si>
  <si>
    <t>HERTZ CORP, THE</t>
  </si>
  <si>
    <t>HEWITT ASSOCIATES</t>
  </si>
  <si>
    <t>INA USA CORP</t>
  </si>
  <si>
    <t>INTERSTATE BRANDS-MERITA BAKERY</t>
  </si>
  <si>
    <t>INTERSTATE FOAM &amp; SUPPLY INC</t>
  </si>
  <si>
    <t>JAARS INC</t>
  </si>
  <si>
    <t>JC PENNEY CORPORATION INC</t>
  </si>
  <si>
    <t>JC STEELE &amp; SONS INC</t>
  </si>
  <si>
    <t>KANAWHA INSURANCE CO</t>
  </si>
  <si>
    <t>KEWAUNEE SCIENTIFIC CORP</t>
  </si>
  <si>
    <t>KING HICKORY FURNITURE CO</t>
  </si>
  <si>
    <t>KVAERNER POWER INC</t>
  </si>
  <si>
    <t>LEEBOY</t>
  </si>
  <si>
    <t>LEINER HEALTH PRODUCTS LLC</t>
  </si>
  <si>
    <t>METRO ONE TELECOMMUNICATIONS INC</t>
  </si>
  <si>
    <t>MORGAN CORP</t>
  </si>
  <si>
    <t>NATIONAL LINEN AND UNIFORM SERVICE</t>
  </si>
  <si>
    <t>NEIMAN MARCUS</t>
  </si>
  <si>
    <t>NORFOLK SOUTHERN CORP</t>
  </si>
  <si>
    <t>OMNI CHARLOTTE HOTEL</t>
  </si>
  <si>
    <t>PERDUE FARMS INC</t>
  </si>
  <si>
    <t>PETRO EXPRESS INC</t>
  </si>
  <si>
    <t>PF CHANG'S CHINA BISTRO</t>
  </si>
  <si>
    <t>PILGRIM'S PRIDE CORP</t>
  </si>
  <si>
    <t>PROFESSIONAL CARE MANAGEMENT</t>
  </si>
  <si>
    <t>PROFESSIONAL KNITTING</t>
  </si>
  <si>
    <t>RANDSTAD USA</t>
  </si>
  <si>
    <t>SAM'S MART</t>
  </si>
  <si>
    <t>SAURER INC</t>
  </si>
  <si>
    <t>SCHAEFER SYSTEMS INTERNATIONAL INC</t>
  </si>
  <si>
    <t>SEM PRODUCTS INC</t>
  </si>
  <si>
    <t>SMURFIT-STONE CONTAINER CORP</t>
  </si>
  <si>
    <t>SOUTHEASTERN MATERIALS INC</t>
  </si>
  <si>
    <t>SOUTHERN STEEL CO LLC</t>
  </si>
  <si>
    <t>SPECIALTY LIGHTING INC</t>
  </si>
  <si>
    <t>SREE HOTELS</t>
  </si>
  <si>
    <t>ST TIMOTHY CHAIR CO</t>
  </si>
  <si>
    <t>STABILUS</t>
  </si>
  <si>
    <t>STATESVILLE AUTO AUCTION</t>
  </si>
  <si>
    <t>STEELFAB INC</t>
  </si>
  <si>
    <t>STOCK COMPONENTS</t>
  </si>
  <si>
    <t>STRATEGIC STAFFING SOLUTIONS INC</t>
  </si>
  <si>
    <t>SUNBELT RENTAL INC</t>
  </si>
  <si>
    <t>SUNTRUST BANK</t>
  </si>
  <si>
    <t>TARGET STORES</t>
  </si>
  <si>
    <t>THOMAS &amp; BETTS CO</t>
  </si>
  <si>
    <t>TIMEPLANNER CALENDARS INC</t>
  </si>
  <si>
    <t>TRAMMELL CROW CO</t>
  </si>
  <si>
    <t>TRANE COMMERCIAL SYSTEMS</t>
  </si>
  <si>
    <t>TRANSAMERICA OCCIDENTAL LIFE INSURANCE CO</t>
  </si>
  <si>
    <t>TROPICAL NUT &amp; FRUIT</t>
  </si>
  <si>
    <t>UNIVERSITY OF NORTH CAROLINA AT CHARLOTTE</t>
  </si>
  <si>
    <t>WAYNE BROTHERS INC</t>
  </si>
  <si>
    <t>WOLF CAMERA</t>
  </si>
  <si>
    <t>XPEDX</t>
  </si>
  <si>
    <t>YMCA OF CATAWBA VALLEY</t>
  </si>
  <si>
    <t>YUM BRANDS INC</t>
  </si>
  <si>
    <t>ZENITH FREIGHT LINES LLC</t>
  </si>
  <si>
    <t>Array</t>
  </si>
  <si>
    <t>Index</t>
  </si>
  <si>
    <t>Match</t>
  </si>
  <si>
    <t>Index-Match</t>
  </si>
  <si>
    <t>Table or row to index</t>
  </si>
  <si>
    <t>Row</t>
  </si>
  <si>
    <t>Row of data</t>
  </si>
  <si>
    <t>Color</t>
  </si>
  <si>
    <t>Monday</t>
  </si>
  <si>
    <t>Tuesday</t>
  </si>
  <si>
    <t>Wednesday</t>
  </si>
  <si>
    <t>Thursday</t>
  </si>
  <si>
    <t>Friday</t>
  </si>
  <si>
    <t>Column</t>
  </si>
  <si>
    <t>Column of data</t>
  </si>
  <si>
    <t>Apple</t>
  </si>
  <si>
    <t>Red</t>
  </si>
  <si>
    <t>Pear</t>
  </si>
  <si>
    <t>Green</t>
  </si>
  <si>
    <t>Banana</t>
  </si>
  <si>
    <t>Yellow</t>
  </si>
  <si>
    <t>LookupValue</t>
  </si>
  <si>
    <t>Value to look up</t>
  </si>
  <si>
    <t>LookupArray</t>
  </si>
  <si>
    <t>Group of cells to do the lookup</t>
  </si>
  <si>
    <t>MatchType</t>
  </si>
  <si>
    <t>-1-Less Than, 0-Equal,1-Greater Than</t>
  </si>
  <si>
    <t>Put Them Together</t>
  </si>
  <si>
    <t>MailAddress</t>
  </si>
  <si>
    <t>MailCity</t>
  </si>
  <si>
    <t>MailSt</t>
  </si>
  <si>
    <t>MailZip</t>
  </si>
  <si>
    <t>County</t>
  </si>
  <si>
    <t>AAA COOPER TRANSPORTATION CO INC</t>
  </si>
  <si>
    <t>4000 Sam Wilson Rd</t>
  </si>
  <si>
    <t>Charlotte</t>
  </si>
  <si>
    <t>NC</t>
  </si>
  <si>
    <t>28269</t>
  </si>
  <si>
    <t>Mecklenburg</t>
  </si>
  <si>
    <t>AB CARTER INC</t>
  </si>
  <si>
    <t>PO Box 518</t>
  </si>
  <si>
    <t>Gastonia</t>
  </si>
  <si>
    <t>28053</t>
  </si>
  <si>
    <t>Gaston</t>
  </si>
  <si>
    <t>1623 Cedar Line Dr</t>
  </si>
  <si>
    <t>Rock Hill</t>
  </si>
  <si>
    <t>29730</t>
  </si>
  <si>
    <t>York</t>
  </si>
  <si>
    <t>ABERCROMBIE &amp; FITCH CO</t>
  </si>
  <si>
    <t>6301 Fitch Path</t>
  </si>
  <si>
    <t>New Albany</t>
  </si>
  <si>
    <t>OH</t>
  </si>
  <si>
    <t>43054</t>
  </si>
  <si>
    <t>Regional</t>
  </si>
  <si>
    <t>ABM LANDSCAPE SERVICES</t>
  </si>
  <si>
    <t>11301 Reames Rd</t>
  </si>
  <si>
    <t>ACCUMA CORP</t>
  </si>
  <si>
    <t>133 Fanjoy Rd</t>
  </si>
  <si>
    <t>Statesville</t>
  </si>
  <si>
    <t>28625</t>
  </si>
  <si>
    <t>Iredell</t>
  </si>
  <si>
    <t>ACCURATE STAFFING CONSULTANTS INC</t>
  </si>
  <si>
    <t>13000 York Rd, Box 312</t>
  </si>
  <si>
    <t>ACE HARDWARE</t>
  </si>
  <si>
    <t>2200 Kensington Ct</t>
  </si>
  <si>
    <t>Oak Brook</t>
  </si>
  <si>
    <t>60523</t>
  </si>
  <si>
    <t>ACOSTA SALES &amp; MARKETING</t>
  </si>
  <si>
    <t>PO Box 34309</t>
  </si>
  <si>
    <t>28234</t>
  </si>
  <si>
    <t>ACOUSTICS INC</t>
  </si>
  <si>
    <t>PO Box 242507</t>
  </si>
  <si>
    <t>28224</t>
  </si>
  <si>
    <t>ACTAVIS MID ATLANTIC LLC</t>
  </si>
  <si>
    <t>1877 Kawai Rd</t>
  </si>
  <si>
    <t>Lincolnton</t>
  </si>
  <si>
    <t>28092</t>
  </si>
  <si>
    <t>Lincoln</t>
  </si>
  <si>
    <t>ACTION PERSONNEL SERVICES</t>
  </si>
  <si>
    <t>654 Pressley Rd</t>
  </si>
  <si>
    <t>28217</t>
  </si>
  <si>
    <t>ADECCO</t>
  </si>
  <si>
    <t>8520 Cliff Cameron Dr, Suite 170</t>
  </si>
  <si>
    <t>28268</t>
  </si>
  <si>
    <t>ADESA CHARLOTTE</t>
  </si>
  <si>
    <t>PO Box 411168</t>
  </si>
  <si>
    <t>28241</t>
  </si>
  <si>
    <t>ADMARK GRAPHIC SYSTEMS INC</t>
  </si>
  <si>
    <t>9700 Metromont Industrial Blvd</t>
  </si>
  <si>
    <t>ADP INC</t>
  </si>
  <si>
    <t>201 Regency Executive Park Dr</t>
  </si>
  <si>
    <t>ADVANCED IMAGING SYSTEMS INC</t>
  </si>
  <si>
    <t>10617 Southern Loop Blvd</t>
  </si>
  <si>
    <t>Pineville</t>
  </si>
  <si>
    <t>28134</t>
  </si>
  <si>
    <t>AEP INDUSTRIES INC</t>
  </si>
  <si>
    <t>303 Seaboard Dr</t>
  </si>
  <si>
    <t>Matthews</t>
  </si>
  <si>
    <t>28104</t>
  </si>
  <si>
    <t>2359 Perimeter Point Pkwy, Suite 200</t>
  </si>
  <si>
    <t>28208</t>
  </si>
  <si>
    <t>PO Box 1967</t>
  </si>
  <si>
    <t>AFFORDABLE FIRE PROTECTION INC</t>
  </si>
  <si>
    <t>11020 Bailey Rd, Suite E</t>
  </si>
  <si>
    <t>Cornelius</t>
  </si>
  <si>
    <t>28031</t>
  </si>
  <si>
    <t>AFL NETWORK SERVICES</t>
  </si>
  <si>
    <t>2807 Gray Fox Rd</t>
  </si>
  <si>
    <t>Monroe</t>
  </si>
  <si>
    <t>28110</t>
  </si>
  <si>
    <t>Union</t>
  </si>
  <si>
    <t>AGI MEDIA</t>
  </si>
  <si>
    <t>790 S Battleground Ave</t>
  </si>
  <si>
    <t>Grover</t>
  </si>
  <si>
    <t>28073</t>
  </si>
  <si>
    <t>Cleveland</t>
  </si>
  <si>
    <t>AKSYS USA INC</t>
  </si>
  <si>
    <t>1909 Kyle Ct</t>
  </si>
  <si>
    <t>28052</t>
  </si>
  <si>
    <t>ALBEMARLE OIL CO INC</t>
  </si>
  <si>
    <t>PO Box 1059</t>
  </si>
  <si>
    <t>Albemarle</t>
  </si>
  <si>
    <t>28002</t>
  </si>
  <si>
    <t>Stanly</t>
  </si>
  <si>
    <t>ALCAN COMPOSITES</t>
  </si>
  <si>
    <t>PO Box 1839</t>
  </si>
  <si>
    <t>28687</t>
  </si>
  <si>
    <t>ALDERSGATE UNITED METHODIST RETIREMENT COMMUNITY INC</t>
  </si>
  <si>
    <t>3800 Shamrock Dr</t>
  </si>
  <si>
    <t>28215</t>
  </si>
  <si>
    <t>ALDI FOODS</t>
  </si>
  <si>
    <t>1985 Union Church Rd</t>
  </si>
  <si>
    <t>Salisbury</t>
  </si>
  <si>
    <t>28146</t>
  </si>
  <si>
    <t>ALEX LEE INC</t>
  </si>
  <si>
    <t>PO Box 800</t>
  </si>
  <si>
    <t>Hickory</t>
  </si>
  <si>
    <t>28603</t>
  </si>
  <si>
    <t>ALEXANDER CHILDREN'S CENTER</t>
  </si>
  <si>
    <t>PO Box 220632</t>
  </si>
  <si>
    <t>28222</t>
  </si>
  <si>
    <t>ALEXANDER COUNTY</t>
  </si>
  <si>
    <t>621 Liledoun Rd</t>
  </si>
  <si>
    <t>Taylorsville</t>
  </si>
  <si>
    <t>28681</t>
  </si>
  <si>
    <t>Alexander</t>
  </si>
  <si>
    <t>ALEXANDER COUNTY SCHOOLS</t>
  </si>
  <si>
    <t>700 Liledoun Rd</t>
  </si>
  <si>
    <t>ALLEN TATE CO INC</t>
  </si>
  <si>
    <t>6700 Fairview Rd</t>
  </si>
  <si>
    <t>28210</t>
  </si>
  <si>
    <t>ALLIED BARTON SECURITY INC</t>
  </si>
  <si>
    <t>5801 Executive Center Dr, Suite 212</t>
  </si>
  <si>
    <t>28212</t>
  </si>
  <si>
    <t>ALLIED RESOURCES USA LTD</t>
  </si>
  <si>
    <t>15316 Seagle St</t>
  </si>
  <si>
    <t>Huntersville</t>
  </si>
  <si>
    <t>28078</t>
  </si>
  <si>
    <t>ALLIED TECHNICAL RESOURCES INC</t>
  </si>
  <si>
    <t>PO Box 472223</t>
  </si>
  <si>
    <t>28247</t>
  </si>
  <si>
    <t>ALLIED WASTE SERVICES</t>
  </si>
  <si>
    <t>3358 Highway 51 N</t>
  </si>
  <si>
    <t>Fort Mill</t>
  </si>
  <si>
    <t>29715</t>
  </si>
  <si>
    <t>ALLSTATE INSURANCE CO</t>
  </si>
  <si>
    <t>401 McCullough Dr</t>
  </si>
  <si>
    <t>28262</t>
  </si>
  <si>
    <t>ALLTEL COMMUNICATIONS</t>
  </si>
  <si>
    <t>10005 Monroe Rd</t>
  </si>
  <si>
    <t>28270</t>
  </si>
  <si>
    <t>ALSTON &amp; BIRD LLP</t>
  </si>
  <si>
    <t>Bank of America Plaza, 101 S Tryon St, Suite 4000</t>
  </si>
  <si>
    <t>28280</t>
  </si>
  <si>
    <t>AMDOCS INC</t>
  </si>
  <si>
    <t>9401 Arrowpoint Blvd, Suite 150</t>
  </si>
  <si>
    <t>28273</t>
  </si>
  <si>
    <t>AME INC</t>
  </si>
  <si>
    <t>PO Box 909</t>
  </si>
  <si>
    <t>29716</t>
  </si>
  <si>
    <t>AMERICAN &amp; EFIRD INC</t>
  </si>
  <si>
    <t>PO Box 507</t>
  </si>
  <si>
    <t>Mount Holly</t>
  </si>
  <si>
    <t>28120</t>
  </si>
  <si>
    <t>AMERICAN EAGLE WHEEL CORP</t>
  </si>
  <si>
    <t>7780 Park Place Rd</t>
  </si>
  <si>
    <t>29745</t>
  </si>
  <si>
    <t>AMERICAN FIBER &amp; FINISHING INC</t>
  </si>
  <si>
    <t>PO Box 2488</t>
  </si>
  <si>
    <t>AMERICAN RED CROSS</t>
  </si>
  <si>
    <t>PO Box 36507</t>
  </si>
  <si>
    <t>28236</t>
  </si>
  <si>
    <t>AMERICAN ROLLER BEARING CO</t>
  </si>
  <si>
    <t>PO Box 117</t>
  </si>
  <si>
    <t>Hiddenite</t>
  </si>
  <si>
    <t>28636</t>
  </si>
  <si>
    <t>AMERICAN STAINLESS TUBING INC</t>
  </si>
  <si>
    <t>Troutman</t>
  </si>
  <si>
    <t>28166</t>
  </si>
  <si>
    <t>AMERICAN TIRE DISTRIBUTORS</t>
  </si>
  <si>
    <t>PO Box 3145</t>
  </si>
  <si>
    <t>28070</t>
  </si>
  <si>
    <t>AMERICAN TRUETZSCHLER</t>
  </si>
  <si>
    <t>PO Box 669228</t>
  </si>
  <si>
    <t>28266</t>
  </si>
  <si>
    <t>AMERICHEM INC</t>
  </si>
  <si>
    <t>723 Commerce Dr</t>
  </si>
  <si>
    <t>Concord</t>
  </si>
  <si>
    <t>28025</t>
  </si>
  <si>
    <t>Cabarrus</t>
  </si>
  <si>
    <t>AMERICREDIT</t>
  </si>
  <si>
    <t>12125 Herbert Wayne Ct</t>
  </si>
  <si>
    <t>159 Walker Rd</t>
  </si>
  <si>
    <t>1920 Flintstone Dr</t>
  </si>
  <si>
    <t>28677</t>
  </si>
  <si>
    <t>ANDERSEN SERVICES INC</t>
  </si>
  <si>
    <t>PO Box 561897</t>
  </si>
  <si>
    <t>28256</t>
  </si>
  <si>
    <t>ANSON COUNTY</t>
  </si>
  <si>
    <t>114 N Green St, Room 30</t>
  </si>
  <si>
    <t>Wadesboro</t>
  </si>
  <si>
    <t>28170</t>
  </si>
  <si>
    <t>Anson</t>
  </si>
  <si>
    <t>ANSON COUNTY BOARD OF EDUCATION</t>
  </si>
  <si>
    <t>PO Box 719</t>
  </si>
  <si>
    <t>AO SMITH WATER PRODUCTS CO</t>
  </si>
  <si>
    <t>25589 Hwy 1</t>
  </si>
  <si>
    <t>McBee</t>
  </si>
  <si>
    <t>29101</t>
  </si>
  <si>
    <t>Chesterfield</t>
  </si>
  <si>
    <t>APAC ATLANTIC INC</t>
  </si>
  <si>
    <t>PO Box 5310</t>
  </si>
  <si>
    <t>28027</t>
  </si>
  <si>
    <t>APLIX INC</t>
  </si>
  <si>
    <t>PO Box 7505</t>
  </si>
  <si>
    <t>APPLEBEE'S INTERNATIONAL INC</t>
  </si>
  <si>
    <t>4551 W 107th St</t>
  </si>
  <si>
    <t>Overland Park</t>
  </si>
  <si>
    <t>KS</t>
  </si>
  <si>
    <t>66207</t>
  </si>
  <si>
    <t>APPLESEED CHILD DEVELOPMENT CENTER</t>
  </si>
  <si>
    <t>1014 Maxwell Mill Rd</t>
  </si>
  <si>
    <t>29708</t>
  </si>
  <si>
    <t>ARAMARK UNIFORM SERVICES INC</t>
  </si>
  <si>
    <t>PO Box 668563</t>
  </si>
  <si>
    <t>AREVA</t>
  </si>
  <si>
    <t>7207 IBM Dr</t>
  </si>
  <si>
    <t>ARLEY CORP</t>
  </si>
  <si>
    <t>PO Box 646</t>
  </si>
  <si>
    <t>28106</t>
  </si>
  <si>
    <t>ARMACELL CO</t>
  </si>
  <si>
    <t>1004 Keisler Rd</t>
  </si>
  <si>
    <t>Conover</t>
  </si>
  <si>
    <t>28613</t>
  </si>
  <si>
    <t>Catawba</t>
  </si>
  <si>
    <t>ARMSTRONG WOOD PRODUCTS</t>
  </si>
  <si>
    <t>755 Washington Ave</t>
  </si>
  <si>
    <t>ARNELL CARRIERS</t>
  </si>
  <si>
    <t>175 N Pine Ridge Rd</t>
  </si>
  <si>
    <t>China Grove</t>
  </si>
  <si>
    <t>28023</t>
  </si>
  <si>
    <t>Rowan</t>
  </si>
  <si>
    <t>2504 Lowell Rd</t>
  </si>
  <si>
    <t>28054</t>
  </si>
  <si>
    <t>ART INSTITUTE OF CHARLOTTE</t>
  </si>
  <si>
    <t>2110 Water Ridge Pkwy</t>
  </si>
  <si>
    <t>801 Railroad Ave</t>
  </si>
  <si>
    <t>ASMO NORTH CAROLINA INC</t>
  </si>
  <si>
    <t>470 Crawford Rd</t>
  </si>
  <si>
    <t>ASPLUNDH TREE EXPERT CO</t>
  </si>
  <si>
    <t>351 Orchard Cir</t>
  </si>
  <si>
    <t>AT HOME TOTAL CARE</t>
  </si>
  <si>
    <t>4530 Park Rd, Suite 420</t>
  </si>
  <si>
    <t>28209</t>
  </si>
  <si>
    <t>AT&amp;T NORTH CAROLINA</t>
  </si>
  <si>
    <t>PO Box 30188</t>
  </si>
  <si>
    <t>28230</t>
  </si>
  <si>
    <t>4374 Lancaster Hwy</t>
  </si>
  <si>
    <t>Richburg</t>
  </si>
  <si>
    <t>29729</t>
  </si>
  <si>
    <t>Chester</t>
  </si>
  <si>
    <t>PO Box 5030</t>
  </si>
  <si>
    <t>28111</t>
  </si>
  <si>
    <t>ATKINSON INTERNATIONAL</t>
  </si>
  <si>
    <t>299 Olney Church Rd</t>
  </si>
  <si>
    <t>28056</t>
  </si>
  <si>
    <t>ATOTECH USA INC</t>
  </si>
  <si>
    <t>1750 Overview Dr</t>
  </si>
  <si>
    <t>ATS HEALTH SERVICES</t>
  </si>
  <si>
    <t>1317 Berkeley Ave</t>
  </si>
  <si>
    <t>28204</t>
  </si>
  <si>
    <t>AUSTIN CO</t>
  </si>
  <si>
    <t>PO Box 415</t>
  </si>
  <si>
    <t>AUSTIN INTERNATIONAL</t>
  </si>
  <si>
    <t>7 Ross Cannon St</t>
  </si>
  <si>
    <t>AUTO BELL CAR WASH INC</t>
  </si>
  <si>
    <t>1521 E Third St</t>
  </si>
  <si>
    <t>AUTO TRUCK TRANSPORT CORP</t>
  </si>
  <si>
    <t>320 Bear Poplar Rd</t>
  </si>
  <si>
    <t>27013</t>
  </si>
  <si>
    <t>AUTUMN CARE OF MARSHVILLE INC</t>
  </si>
  <si>
    <t>311 W Phifer St</t>
  </si>
  <si>
    <t>Marshville</t>
  </si>
  <si>
    <t>28103</t>
  </si>
  <si>
    <t>AUTUMN CARE OF SALISBURY</t>
  </si>
  <si>
    <t>PO Drawer 1789</t>
  </si>
  <si>
    <t>28144</t>
  </si>
  <si>
    <t>AVANTE AT CHARLOTTE INC</t>
  </si>
  <si>
    <t>4801 Randolph Rd</t>
  </si>
  <si>
    <t>28211</t>
  </si>
  <si>
    <t>AVANTE NURSING AND REHAB CENTER AT CONCORD</t>
  </si>
  <si>
    <t>515 Lake Concord Rd</t>
  </si>
  <si>
    <t>AVERITT EXPRESS INC</t>
  </si>
  <si>
    <t>3708 Westinghouse Blvd</t>
  </si>
  <si>
    <t>AVERY DENNISON</t>
  </si>
  <si>
    <t>170 Marble Rd</t>
  </si>
  <si>
    <t>AXA EQUITABLE</t>
  </si>
  <si>
    <t>PO Box 1047</t>
  </si>
  <si>
    <t>28277</t>
  </si>
  <si>
    <t>AZDEL INC</t>
  </si>
  <si>
    <t>925 Washburn Switch Rd</t>
  </si>
  <si>
    <t>Shelby</t>
  </si>
  <si>
    <t>28150</t>
  </si>
  <si>
    <t>B &amp; B CONTRACTING CO INC</t>
  </si>
  <si>
    <t>312 W Tremont Ave</t>
  </si>
  <si>
    <t>28203</t>
  </si>
  <si>
    <t>B &amp; H FOODS INC</t>
  </si>
  <si>
    <t>2122 Thrift Rd</t>
  </si>
  <si>
    <t>BADGER SPORTSWEAR</t>
  </si>
  <si>
    <t>PO Box 447</t>
  </si>
  <si>
    <t>BAKER &amp; TAYLOR</t>
  </si>
  <si>
    <t>2550 W Tyvola Rd</t>
  </si>
  <si>
    <t>BALANCE STAFFING</t>
  </si>
  <si>
    <t>3911 South Blvd</t>
  </si>
  <si>
    <t>BALDOR ELECTRIC CO</t>
  </si>
  <si>
    <t>2499 Deerfield Dr</t>
  </si>
  <si>
    <t>BALLY TOTAL FITNESS</t>
  </si>
  <si>
    <t>5404 Central Ave</t>
  </si>
  <si>
    <t>BANK OF AMERICA</t>
  </si>
  <si>
    <t>100 N Tryon St, Suite 220</t>
  </si>
  <si>
    <t>28255</t>
  </si>
  <si>
    <t>BANK OF GRANITE CORP</t>
  </si>
  <si>
    <t>317 First Ave NW</t>
  </si>
  <si>
    <t>PO Box 410050</t>
  </si>
  <si>
    <t>BARNES &amp; NOBLE INC</t>
  </si>
  <si>
    <t>122 Fifth Ave</t>
  </si>
  <si>
    <t>10011</t>
  </si>
  <si>
    <t>BARNHARDT MANUFACTURING CO</t>
  </si>
  <si>
    <t>PO Box 34276</t>
  </si>
  <si>
    <t>BARTLETT MILLING CO</t>
  </si>
  <si>
    <t>PO Box 831</t>
  </si>
  <si>
    <t>BASF CORP</t>
  </si>
  <si>
    <t>11501 Steele Creek Rd</t>
  </si>
  <si>
    <t>BASIC ELECTRIC CO INC</t>
  </si>
  <si>
    <t>PO Box 577</t>
  </si>
  <si>
    <t>Indian Trail</t>
  </si>
  <si>
    <t>28079</t>
  </si>
  <si>
    <t>BASS PRO SHOPS OUTDOOR WORLD</t>
  </si>
  <si>
    <t>8181 Concord Mills Blvd</t>
  </si>
  <si>
    <t>28207</t>
  </si>
  <si>
    <t>BASSETT UPHOLSTERY</t>
  </si>
  <si>
    <t>PO Box 47</t>
  </si>
  <si>
    <t>Newton</t>
  </si>
  <si>
    <t>28658</t>
  </si>
  <si>
    <t>BATH &amp; BODY WORKS</t>
  </si>
  <si>
    <t>Seven Limited Parkway East</t>
  </si>
  <si>
    <t>Reynoldsburg</t>
  </si>
  <si>
    <t>43068</t>
  </si>
  <si>
    <t>BAYADA NURSES</t>
  </si>
  <si>
    <t>2329 E WT Harris Blvd, Suite 100</t>
  </si>
  <si>
    <t>28213</t>
  </si>
  <si>
    <t>BB&amp;T</t>
  </si>
  <si>
    <t>200 S College St, 4th Floor</t>
  </si>
  <si>
    <t>28202</t>
  </si>
  <si>
    <t>BE&amp;K BUILDING GROUP INC</t>
  </si>
  <si>
    <t>5605 Carnegie Blvd, Suite 200</t>
  </si>
  <si>
    <t>BEACON INDUSTRIAL GROUP INC</t>
  </si>
  <si>
    <t>PO Box 16348</t>
  </si>
  <si>
    <t>28297</t>
  </si>
  <si>
    <t>BEALER WHOLESALE INC</t>
  </si>
  <si>
    <t>7505 Statesville Rd</t>
  </si>
  <si>
    <t>BEAM CONSTRUCTION CO INC</t>
  </si>
  <si>
    <t>PO Box 129</t>
  </si>
  <si>
    <t>Cherryville</t>
  </si>
  <si>
    <t>28021</t>
  </si>
  <si>
    <t>BEAZER HOMES</t>
  </si>
  <si>
    <t>1300 South Blvd, Suite K</t>
  </si>
  <si>
    <t>BECK IMPORTS</t>
  </si>
  <si>
    <t>5141 E Independence Blvd</t>
  </si>
  <si>
    <t>BED BATH &amp; BEYOND</t>
  </si>
  <si>
    <t>650 Liberty Ave</t>
  </si>
  <si>
    <t>NJ</t>
  </si>
  <si>
    <t>07083</t>
  </si>
  <si>
    <t>BELAIRE HEALTH CARE CENTER INC</t>
  </si>
  <si>
    <t>2065 Lyon St</t>
  </si>
  <si>
    <t>BELDING HAUSMAN INC</t>
  </si>
  <si>
    <t>2130 E Main St</t>
  </si>
  <si>
    <t>BELK INC</t>
  </si>
  <si>
    <t>2801 W Tyvola Rd</t>
  </si>
  <si>
    <t>BELMONT ABBEY COLLEGE</t>
  </si>
  <si>
    <t>100 Belmont-Mount Holly Rd</t>
  </si>
  <si>
    <t>Belmont</t>
  </si>
  <si>
    <t>28012</t>
  </si>
  <si>
    <t>BERNHARDT INDUSTRIES INC</t>
  </si>
  <si>
    <t>PO Box 2029</t>
  </si>
  <si>
    <t>28151</t>
  </si>
  <si>
    <t>BERRY TRI-PLAS CORP</t>
  </si>
  <si>
    <t>3414 Wesley Chapel Stouts Rd</t>
  </si>
  <si>
    <t>1900 Airport Rd</t>
  </si>
  <si>
    <t>BEST BUY CO INC</t>
  </si>
  <si>
    <t>7421 E Independence Blvd</t>
  </si>
  <si>
    <t>28227</t>
  </si>
  <si>
    <t>BEST WESTERN</t>
  </si>
  <si>
    <t>6201 N 24th Parkway</t>
  </si>
  <si>
    <t>Phoenix</t>
  </si>
  <si>
    <t>AZ</t>
  </si>
  <si>
    <t>85016</t>
  </si>
  <si>
    <t>BESTSWEET INC</t>
  </si>
  <si>
    <t>PO Box 329</t>
  </si>
  <si>
    <t>Mooresville</t>
  </si>
  <si>
    <t>28115</t>
  </si>
  <si>
    <t>BETCO INC</t>
  </si>
  <si>
    <t>PO Box 1650</t>
  </si>
  <si>
    <t>BETHLEHEM CENTER OF CHARLOTTE INC</t>
  </si>
  <si>
    <t>2705 Baltimore Ave</t>
  </si>
  <si>
    <t>BEVERLY HEALTH CARE CHARLOTTE</t>
  </si>
  <si>
    <t>2616 E Fifth St</t>
  </si>
  <si>
    <t>BEVERLY KNITS INC</t>
  </si>
  <si>
    <t>PO Box 3736</t>
  </si>
  <si>
    <t>BILLY GRAHAM EVANGELISTIC ASSOCIATION</t>
  </si>
  <si>
    <t>1 Billy Graham Pkwy</t>
  </si>
  <si>
    <t>28201</t>
  </si>
  <si>
    <t>BI-LO LLC</t>
  </si>
  <si>
    <t>PO Box 99</t>
  </si>
  <si>
    <t>Mauldin</t>
  </si>
  <si>
    <t>29662</t>
  </si>
  <si>
    <t>BLACK &amp; DECKER OF THE CAROLINAS</t>
  </si>
  <si>
    <t>4041 Pleasant Rd</t>
  </si>
  <si>
    <t>BLAKE HOTEL, THE</t>
  </si>
  <si>
    <t>555 S McDowell St</t>
  </si>
  <si>
    <t>3000 Stitt St</t>
  </si>
  <si>
    <t>BLUM INC</t>
  </si>
  <si>
    <t>7733 Old Plank Rd</t>
  </si>
  <si>
    <t>Stanley</t>
  </si>
  <si>
    <t>28164</t>
  </si>
  <si>
    <t>BLUMENTHAL CENTER</t>
  </si>
  <si>
    <t>130 N Tryon St</t>
  </si>
  <si>
    <t>BLYTHE CONSTRUCTION INC</t>
  </si>
  <si>
    <t>PO Box 31635</t>
  </si>
  <si>
    <t>28231</t>
  </si>
  <si>
    <t>BLYTHE DEVELOPMENT CO</t>
  </si>
  <si>
    <t>1415 E Westinghouse Blvd</t>
  </si>
  <si>
    <t>BOB EVANS</t>
  </si>
  <si>
    <t>3776 S High St</t>
  </si>
  <si>
    <t>43207</t>
  </si>
  <si>
    <t>BOBCATS BASKETBALL LLC</t>
  </si>
  <si>
    <t>129 W Trade St, Suite 700</t>
  </si>
  <si>
    <t>BOGGS PAVING</t>
  </si>
  <si>
    <t>PO Box 1609</t>
  </si>
  <si>
    <t>BOJANGLES' RESTAURANTS INC</t>
  </si>
  <si>
    <t>PO Box 240239</t>
  </si>
  <si>
    <t>BONDED LOGISTICS INC</t>
  </si>
  <si>
    <t>PO Box 480203</t>
  </si>
  <si>
    <t>BONITZ FLOORING GROUP</t>
  </si>
  <si>
    <t>4539 Enterprise Dr NW</t>
  </si>
  <si>
    <t>BORAL BRICKS INC</t>
  </si>
  <si>
    <t>PO Box 1249</t>
  </si>
  <si>
    <t>28145</t>
  </si>
  <si>
    <t>BORAL BRICKS INC, VAN WYCK PLANT</t>
  </si>
  <si>
    <t>Van Wyck</t>
  </si>
  <si>
    <t>29744</t>
  </si>
  <si>
    <t>Lancaster</t>
  </si>
  <si>
    <t>BORDERS GROUP INC</t>
  </si>
  <si>
    <t>100 Phoenix Dr</t>
  </si>
  <si>
    <t>48108</t>
  </si>
  <si>
    <t>BOSCH REXROTH CORP</t>
  </si>
  <si>
    <t>14001 S Lakes Dr</t>
  </si>
  <si>
    <t>BOSTON GEAR</t>
  </si>
  <si>
    <t>701 Carrier Dr</t>
  </si>
  <si>
    <t>28216</t>
  </si>
  <si>
    <t>BOVIS LEND LEASE</t>
  </si>
  <si>
    <t>2550 W Tyvola Rd, Suite 600</t>
  </si>
  <si>
    <t>BOWATER INC</t>
  </si>
  <si>
    <t>PO Box 7</t>
  </si>
  <si>
    <t>29704</t>
  </si>
  <si>
    <t>4001 Yancey Rd</t>
  </si>
  <si>
    <t>BOY SCOUTS OF AMERICA</t>
  </si>
  <si>
    <t>PO Box 7143</t>
  </si>
  <si>
    <t>BRADINGTON-YOUNG LLC</t>
  </si>
  <si>
    <t>PO Box 487</t>
  </si>
  <si>
    <t>BRIAN CENTER HEALTH &amp; REHABILITATION</t>
  </si>
  <si>
    <t>5945 Reddman Rd, Suite 100</t>
  </si>
  <si>
    <t>BRINKER INTERNATIONAL</t>
  </si>
  <si>
    <t>6820 LBJ Freeway</t>
  </si>
  <si>
    <t>Dallas</t>
  </si>
  <si>
    <t>TX</t>
  </si>
  <si>
    <t>72540</t>
  </si>
  <si>
    <t>BRITAX CHILD SAFETY INC</t>
  </si>
  <si>
    <t>13501 South Ridge Dr</t>
  </si>
  <si>
    <t>BRITTHAVEN OF CHARLOTTE</t>
  </si>
  <si>
    <t>9200 Glenwater Dr</t>
  </si>
  <si>
    <t>BRITTHAVEN OF THE PIEDMONT</t>
  </si>
  <si>
    <t>PO Box 1250</t>
  </si>
  <si>
    <t>BROADSPIRE SERVICES INC</t>
  </si>
  <si>
    <t>PO Box 15909</t>
  </si>
  <si>
    <t>28219</t>
  </si>
  <si>
    <t>10926 David Taylor Dr</t>
  </si>
  <si>
    <t>BROOKS FOOD GROUP</t>
  </si>
  <si>
    <t>2701 Simpson St</t>
  </si>
  <si>
    <t>28112</t>
  </si>
  <si>
    <t>BROYHILL FURNITURE INDUSTRIES INC</t>
  </si>
  <si>
    <t>3457 Hwy 90 E</t>
  </si>
  <si>
    <t>BRYANT ELECTRIC SUPPLY INC</t>
  </si>
  <si>
    <t>PO Box 1000</t>
  </si>
  <si>
    <t>Lowell</t>
  </si>
  <si>
    <t>28098</t>
  </si>
  <si>
    <t>BSN MEDICAL INC</t>
  </si>
  <si>
    <t>5825 Carnegie Blvd</t>
  </si>
  <si>
    <t>BUCKEYE FIRE EQUIPMENT CO</t>
  </si>
  <si>
    <t>PO Box 428</t>
  </si>
  <si>
    <t>Kings Mountain</t>
  </si>
  <si>
    <t>28086</t>
  </si>
  <si>
    <t>BUCKEYE TECHNOLOGIES INC</t>
  </si>
  <si>
    <t>100 Buckeye Dr</t>
  </si>
  <si>
    <t>BUDD GROUP</t>
  </si>
  <si>
    <t>1000 Amble Dr</t>
  </si>
  <si>
    <t>28206</t>
  </si>
  <si>
    <t>BUILDER'S FIRST SOURCE</t>
  </si>
  <si>
    <t>7770 Caldwell Rd</t>
  </si>
  <si>
    <t>Harrisburg</t>
  </si>
  <si>
    <t>28075</t>
  </si>
  <si>
    <t>BUILDING CENTRE INC</t>
  </si>
  <si>
    <t>PO Box 357</t>
  </si>
  <si>
    <t>BURGER KING CORP</t>
  </si>
  <si>
    <t>5505 Blue Lagoon</t>
  </si>
  <si>
    <t>Miami</t>
  </si>
  <si>
    <t>FL</t>
  </si>
  <si>
    <t>33126</t>
  </si>
  <si>
    <t>BURKE INTERNATIONAL TOURS INC</t>
  </si>
  <si>
    <t>4643 S Hwy 16</t>
  </si>
  <si>
    <t>Maiden</t>
  </si>
  <si>
    <t>28650</t>
  </si>
  <si>
    <t>BURLAN CORP</t>
  </si>
  <si>
    <t>PO Box 12336</t>
  </si>
  <si>
    <t>BYRD'S GROUP</t>
  </si>
  <si>
    <t>PO Box 44130</t>
  </si>
  <si>
    <t>CABARRUS COUNTY</t>
  </si>
  <si>
    <t>PO Box 707</t>
  </si>
  <si>
    <t>28026</t>
  </si>
  <si>
    <t>CABARRUS COUNTY SCHOOLS</t>
  </si>
  <si>
    <t>PO Box 388</t>
  </si>
  <si>
    <t>CABARRUS FAMILY MEDICINE</t>
  </si>
  <si>
    <t>270 Copperfield Blvd, Suite 201</t>
  </si>
  <si>
    <t>1307 S Cannon Blvd</t>
  </si>
  <si>
    <t>Kannapolis</t>
  </si>
  <si>
    <t>28083</t>
  </si>
  <si>
    <t>CABARRUS PLASTICS INC</t>
  </si>
  <si>
    <t>2845 Armentrout Dr</t>
  </si>
  <si>
    <t>CABOT WRENN</t>
  </si>
  <si>
    <t>PO Box 1767</t>
  </si>
  <si>
    <t>CADMUS/THE WHITEHALL GROUP</t>
  </si>
  <si>
    <t>2750 Whitehall Park Dr</t>
  </si>
  <si>
    <t>CADWALADER, WICKERSHAM &amp; TAFT</t>
  </si>
  <si>
    <t>227 W Trade St, Suite 2400</t>
  </si>
  <si>
    <t>CALVARY CHURCH</t>
  </si>
  <si>
    <t>5801 Pineville-Matthews Rd</t>
  </si>
  <si>
    <t>28226</t>
  </si>
  <si>
    <t>CAMEO FIBERS CORP</t>
  </si>
  <si>
    <t>PO Box 310</t>
  </si>
  <si>
    <t>CAMFIL FARR INC</t>
  </si>
  <si>
    <t>PO Box 1779</t>
  </si>
  <si>
    <t>CAM-FUL INDUSTRIES</t>
  </si>
  <si>
    <t>9800 Industrial Dr</t>
  </si>
  <si>
    <t>CANAC LTD, USA</t>
  </si>
  <si>
    <t>607 Meacham Rd</t>
  </si>
  <si>
    <t>CANADIAN-AMERICAN TRANSPORTATION</t>
  </si>
  <si>
    <t>2665 Zion Church Rd</t>
  </si>
  <si>
    <t>CANNON MEMORIAL YMCA</t>
  </si>
  <si>
    <t>101 YMCA Dr</t>
  </si>
  <si>
    <t>28081</t>
  </si>
  <si>
    <t>3050 Tate Blvd SE</t>
  </si>
  <si>
    <t>28602</t>
  </si>
  <si>
    <t>CAPTIVA RESTAURANT GROUP</t>
  </si>
  <si>
    <t>17830 Statesville Rd</t>
  </si>
  <si>
    <t>CARAUSTAR CUSTOM PACKAGING GROUP</t>
  </si>
  <si>
    <t>8800 South Blvd</t>
  </si>
  <si>
    <t>CARDINAL FG CO</t>
  </si>
  <si>
    <t>342 Mooresville Blvd</t>
  </si>
  <si>
    <t>CARDINAL HEALTH INC</t>
  </si>
  <si>
    <t>785 Fort Mill Hwy</t>
  </si>
  <si>
    <t>CARDINAL LOGISTICS MANAGEMENT CORP</t>
  </si>
  <si>
    <t>5333 Davidson Hwy</t>
  </si>
  <si>
    <t>CARGILL INC</t>
  </si>
  <si>
    <t>PO Box 240457</t>
  </si>
  <si>
    <t>3900 Lakebreeze Ave N</t>
  </si>
  <si>
    <t>55429</t>
  </si>
  <si>
    <t>CARL-CIN RESTAURANTS</t>
  </si>
  <si>
    <t>448 Lakeshore Pkwy, Suite 100</t>
  </si>
  <si>
    <t>CARLSON RESTAURANTS WORLDWIDE INC</t>
  </si>
  <si>
    <t>4201 Marsh Ln</t>
  </si>
  <si>
    <t>Carrollton</t>
  </si>
  <si>
    <t>75007</t>
  </si>
  <si>
    <t>CARMAX INC</t>
  </si>
  <si>
    <t>7700 Krefeld Dr</t>
  </si>
  <si>
    <t>10510 Cadillac St</t>
  </si>
  <si>
    <t>CARMEL COUNTRY CLUB INC</t>
  </si>
  <si>
    <t>4735 Carmel Rd</t>
  </si>
  <si>
    <t>CAROLINA BEVERAGE CORP</t>
  </si>
  <si>
    <t>PO Box 697</t>
  </si>
  <si>
    <t>CAROLINA BYPRODUCTS</t>
  </si>
  <si>
    <t>5533 York Hwy</t>
  </si>
  <si>
    <t>PO Box 718</t>
  </si>
  <si>
    <t>CAROLINA CANNERS INC</t>
  </si>
  <si>
    <t>PO Box 1628</t>
  </si>
  <si>
    <t>Cheraw</t>
  </si>
  <si>
    <t>29520</t>
  </si>
  <si>
    <t>CAROLINA CARE CENTER</t>
  </si>
  <si>
    <t>111 Harrelson Rd</t>
  </si>
  <si>
    <t>CAROLINA CARGO INC - ROCK HILL</t>
  </si>
  <si>
    <t>2310 Crowder Rd</t>
  </si>
  <si>
    <t>CAROLINA CAT</t>
  </si>
  <si>
    <t>9000 Statesville Rd</t>
  </si>
  <si>
    <t>CAROLINA CONTAINER CO INC</t>
  </si>
  <si>
    <t>PO Box 2347</t>
  </si>
  <si>
    <t>300 Billingsley Rd, Suite 200</t>
  </si>
  <si>
    <t>CAROLINA FOODS INC</t>
  </si>
  <si>
    <t>1807 S Tryon St</t>
  </si>
  <si>
    <t>CAROLINA HANDLING LLC</t>
  </si>
  <si>
    <t>PO Box 7548</t>
  </si>
  <si>
    <t>CAROLINA IT PROFESSIONALS</t>
  </si>
  <si>
    <t>243 W Catawba Ave</t>
  </si>
  <si>
    <t>Mt Holly</t>
  </si>
  <si>
    <t>CAROLINA MOTOR CLUB INC</t>
  </si>
  <si>
    <t>6600 Triple A Dr</t>
  </si>
  <si>
    <t>CAROLINA NEUROSURGERY &amp; SPINE ASSOCIATES</t>
  </si>
  <si>
    <t>225 Baldwin Ave</t>
  </si>
  <si>
    <t>CAROLINA PANTHERS</t>
  </si>
  <si>
    <t>Bank of America Stadium, 800 S Mint St</t>
  </si>
  <si>
    <t>CAROLINA PAPER BOARD CORP</t>
  </si>
  <si>
    <t>PO Box 668305</t>
  </si>
  <si>
    <t>CAROLINA PRODUCTS INC</t>
  </si>
  <si>
    <t>1132 Pro Am Dr</t>
  </si>
  <si>
    <t>CAROLINA RESTAURANT GROUP INC</t>
  </si>
  <si>
    <t>8040 Arrowridge Blvd, Suite 100</t>
  </si>
  <si>
    <t>CAROLINA ROOFING INC</t>
  </si>
  <si>
    <t>1726 Riverview Rd</t>
  </si>
  <si>
    <t>CAROLINA STALITE/JOHNSON CONCRETE</t>
  </si>
  <si>
    <t>PO Box 1037</t>
  </si>
  <si>
    <t>CAROLINA STEEL &amp; STONE INC</t>
  </si>
  <si>
    <t>9925 Metromont Industrial Blvd</t>
  </si>
  <si>
    <t>PO Box 32861</t>
  </si>
  <si>
    <t>28232</t>
  </si>
  <si>
    <t>CAROLINAS SPECIALTY HOSPITAL</t>
  </si>
  <si>
    <t>2001 Vail Ave, 7th Floor S</t>
  </si>
  <si>
    <t>CAROLINAS UNION HEALTHCARE</t>
  </si>
  <si>
    <t>PO Box 633</t>
  </si>
  <si>
    <t>PO Box 1747</t>
  </si>
  <si>
    <t>CAROTEK INC</t>
  </si>
  <si>
    <t>PO Box 1395</t>
  </si>
  <si>
    <t>PO Box 455</t>
  </si>
  <si>
    <t>PO Box 879</t>
  </si>
  <si>
    <t>CARPENTER DECORATING CO INC</t>
  </si>
  <si>
    <t>PO Box 2027</t>
  </si>
  <si>
    <t>CARPENTER INDUSTRIES</t>
  </si>
  <si>
    <t>4140 Concord Pkwy S</t>
  </si>
  <si>
    <t>CARRABBA'S ITALIAN GRILL INC</t>
  </si>
  <si>
    <t>405 N Reo St</t>
  </si>
  <si>
    <t>Tampa</t>
  </si>
  <si>
    <t>33609</t>
  </si>
  <si>
    <t>CARREKER CORP</t>
  </si>
  <si>
    <t>10926 David Taylor Dr, Suite 200</t>
  </si>
  <si>
    <t>CARRIAGE CLUB OF CHARLOTTE</t>
  </si>
  <si>
    <t>5800 Old Providence Rd</t>
  </si>
  <si>
    <t>CARRIER CORP</t>
  </si>
  <si>
    <t>9701 Old Statesville Rd</t>
  </si>
  <si>
    <t>600 Fullwood Ln</t>
  </si>
  <si>
    <t>28105</t>
  </si>
  <si>
    <t>CARTER FURNITURE OF SALISBURY</t>
  </si>
  <si>
    <t>PO Box 1869</t>
  </si>
  <si>
    <t>CATALER NORTH AMERICA</t>
  </si>
  <si>
    <t>2002 Cataler Dr</t>
  </si>
  <si>
    <t>2300 W Innes St</t>
  </si>
  <si>
    <t>CATAWBA COUNTY</t>
  </si>
  <si>
    <t>100 Southwest Blvd, Bldg A</t>
  </si>
  <si>
    <t>CATAWBA COUNTY SCHOOLS</t>
  </si>
  <si>
    <t>PO Box 1010</t>
  </si>
  <si>
    <t>CATAWBA SOX INC</t>
  </si>
  <si>
    <t>PO Box 517</t>
  </si>
  <si>
    <t>2550 US Hwy 70 SE</t>
  </si>
  <si>
    <t>CATAWBA VALLEY MEDICAL CENTER</t>
  </si>
  <si>
    <t>810 Fairgrove Church Rd</t>
  </si>
  <si>
    <t>CATO CORP, THE</t>
  </si>
  <si>
    <t>PO Box 34216</t>
  </si>
  <si>
    <t>CBRL GROUP INC</t>
  </si>
  <si>
    <t>PO Box 787</t>
  </si>
  <si>
    <t>Lebanon</t>
  </si>
  <si>
    <t>TN</t>
  </si>
  <si>
    <t>CBS RADIO SALES INC</t>
  </si>
  <si>
    <t>1520 South Blvd, Suite 300</t>
  </si>
  <si>
    <t>CCL LABEL INC</t>
  </si>
  <si>
    <t>4000 Westinghouse Blvd</t>
  </si>
  <si>
    <t>CELESTICA</t>
  </si>
  <si>
    <t>7345 IBM Dr</t>
  </si>
  <si>
    <t>CEM CORP</t>
  </si>
  <si>
    <t>PO Box 200</t>
  </si>
  <si>
    <t>CENTEX HOMES</t>
  </si>
  <si>
    <t>4235 S Stream Blvd, Suite 400</t>
  </si>
  <si>
    <t>28220</t>
  </si>
  <si>
    <t>CENTRAL PIEDMONT COMMUNITY COLLEGE</t>
  </si>
  <si>
    <t>PO Box 35009</t>
  </si>
  <si>
    <t>28235</t>
  </si>
  <si>
    <t>CENTRO INC</t>
  </si>
  <si>
    <t>2725 Kelly Blvd</t>
  </si>
  <si>
    <t>Claremont</t>
  </si>
  <si>
    <t>28610</t>
  </si>
  <si>
    <t>CENTURY 21 HECHT REALTY INC</t>
  </si>
  <si>
    <t>885 N Hwy 16</t>
  </si>
  <si>
    <t>28037</t>
  </si>
  <si>
    <t>CENTURY CONTRACTORS INC</t>
  </si>
  <si>
    <t>5100 Smith Farm Rd</t>
  </si>
  <si>
    <t>CENTURY FURNITURE INDUSTRIES</t>
  </si>
  <si>
    <t>PO Box 608</t>
  </si>
  <si>
    <t>200 Ratchford Rd</t>
  </si>
  <si>
    <t>CHARLOTTE CARDIOLOGY ASSOCIATES PA</t>
  </si>
  <si>
    <t>309 S Sharon Amity Rd, Suite 200</t>
  </si>
  <si>
    <t>CHARLOTTE CATHOLIC HIGH SCHOOL</t>
  </si>
  <si>
    <t>7702 Pineville Matthews Rd</t>
  </si>
  <si>
    <t>CHARLOTTE CHRISTIAN SCHOOL</t>
  </si>
  <si>
    <t>7301 Sardis Rd</t>
  </si>
  <si>
    <t>CHARLOTTE COPY DATA</t>
  </si>
  <si>
    <t>4404A Stuart Andrew Blvd</t>
  </si>
  <si>
    <t>CHARLOTTE COUNTRY DAY SCHOOL</t>
  </si>
  <si>
    <t>1440 Carmel Rd</t>
  </si>
  <si>
    <t>CHARLOTTE EYE, EAR, NOSE &amp; THROAT ASSOCIATES PA</t>
  </si>
  <si>
    <t>6035 Fairview Rd</t>
  </si>
  <si>
    <t>CHARLOTTE LATIN SCHOOLS INC</t>
  </si>
  <si>
    <t>9502 Providence Rd</t>
  </si>
  <si>
    <t>CHARLOTTE OBSERVER, THE</t>
  </si>
  <si>
    <t>PO Box 32188</t>
  </si>
  <si>
    <t>CHARLOTTE PAINT CO INC</t>
  </si>
  <si>
    <t>PO Box 765</t>
  </si>
  <si>
    <t>CHARLOTTE PIPE &amp; FOUNDRY CO</t>
  </si>
  <si>
    <t>2109 Randolph Rd</t>
  </si>
  <si>
    <t>CHARLOTTE RADIOLOGY</t>
  </si>
  <si>
    <t>PO Box 36937</t>
  </si>
  <si>
    <t>501 S College St</t>
  </si>
  <si>
    <t>CHARLOTTE SYMPHONY</t>
  </si>
  <si>
    <t>201 S College St, Suite 110</t>
  </si>
  <si>
    <t>28244</t>
  </si>
  <si>
    <t>CHARLOTTE-MECKLENBURG SCHOOLS</t>
  </si>
  <si>
    <t>PO Box 30035</t>
  </si>
  <si>
    <t>CHEESECAKE FACTORY, THE</t>
  </si>
  <si>
    <t>4400 Sharon Rd, Space A</t>
  </si>
  <si>
    <t>CHEMETALL FOOTE CORP</t>
  </si>
  <si>
    <t>348 Holiday Inn Dr</t>
  </si>
  <si>
    <t>CHEMICAL SPECIALTIES INC</t>
  </si>
  <si>
    <t>PO Box 1330</t>
  </si>
  <si>
    <t>CHERAW YARN MILLS INC</t>
  </si>
  <si>
    <t>PO Box 807</t>
  </si>
  <si>
    <t>CHESTER COUNTY</t>
  </si>
  <si>
    <t>140 Main St</t>
  </si>
  <si>
    <t>29706</t>
  </si>
  <si>
    <t>CHESTER COUNTY SCHOOL DISTRICT</t>
  </si>
  <si>
    <t>109 Hinton St</t>
  </si>
  <si>
    <t>CHESTER HMA INC</t>
  </si>
  <si>
    <t>1 Medical Park Dr</t>
  </si>
  <si>
    <t>CHESTERFIELD COUNTY</t>
  </si>
  <si>
    <t>200 W Main St</t>
  </si>
  <si>
    <t>29709</t>
  </si>
  <si>
    <t>CHESTERFIELD COUNTY SCHOOL DISTRICT</t>
  </si>
  <si>
    <t>401 West Blvd</t>
  </si>
  <si>
    <t>CHESTERFIELD GENERAL HOSPITAL</t>
  </si>
  <si>
    <t>711 Chesterfield Hwy</t>
  </si>
  <si>
    <t>CHICK-FIL-A</t>
  </si>
  <si>
    <t>5200 Buffington Rd</t>
  </si>
  <si>
    <t>Atlanta</t>
  </si>
  <si>
    <t>GA</t>
  </si>
  <si>
    <t>30349</t>
  </si>
  <si>
    <t>CHILD CARE RESOURCES INC</t>
  </si>
  <si>
    <t>4601 Park Rd, Suite 500</t>
  </si>
  <si>
    <t>CHILD DEVELOPMENT SCHOOLS INC</t>
  </si>
  <si>
    <t>1501D 13th St</t>
  </si>
  <si>
    <t>31901</t>
  </si>
  <si>
    <t>CHILDRESS KLEIN PROPERTIES</t>
  </si>
  <si>
    <t>301 S College St, Suite 2800</t>
  </si>
  <si>
    <t>CHIP GANASSI SHOP</t>
  </si>
  <si>
    <t>PO Box 759</t>
  </si>
  <si>
    <t>CHIRON AMERICA INC</t>
  </si>
  <si>
    <t>10950 Withers Cove Park Dr</t>
  </si>
  <si>
    <t>28278</t>
  </si>
  <si>
    <t>CHOATE CONSTRUCTION</t>
  </si>
  <si>
    <t>5960 Fairview Rd, Suite 500</t>
  </si>
  <si>
    <t>CHOICE USA BEVERAGE INC</t>
  </si>
  <si>
    <t>PO Box 40</t>
  </si>
  <si>
    <t>CHOICEPOINT INC</t>
  </si>
  <si>
    <t>13950 Ballantyne Corporate Pl, Suite 200</t>
  </si>
  <si>
    <t>CIBER INC</t>
  </si>
  <si>
    <t>201 S College St, Suite 1450</t>
  </si>
  <si>
    <t>CIGNA HEALTH CARE</t>
  </si>
  <si>
    <t>200 Regency Executive Park</t>
  </si>
  <si>
    <t>CIRCLE K STORES INC</t>
  </si>
  <si>
    <t>2440 Whitehall Park Dr, Suite 800</t>
  </si>
  <si>
    <t>CIRCUIT CITY STORES INC</t>
  </si>
  <si>
    <t>9950 Mayland Dr</t>
  </si>
  <si>
    <t>Richmond</t>
  </si>
  <si>
    <t>VA</t>
  </si>
  <si>
    <t>23233</t>
  </si>
  <si>
    <t>CIRRUS MEDICAL STAFFING</t>
  </si>
  <si>
    <t>4651 Charlotte Park Dr, Suite 400</t>
  </si>
  <si>
    <t>CITI FORT MILL</t>
  </si>
  <si>
    <t>605 Munn Rd</t>
  </si>
  <si>
    <t>CITIZENS SOUTH BANK</t>
  </si>
  <si>
    <t>519 S New Hope Rd</t>
  </si>
  <si>
    <t>CITY OF ALBEMARLE</t>
  </si>
  <si>
    <t>PO Box 190</t>
  </si>
  <si>
    <t>CITY OF CHARLOTTE</t>
  </si>
  <si>
    <t>600 E Fourth St</t>
  </si>
  <si>
    <t>CITY OF CHESTER</t>
  </si>
  <si>
    <t>100 W End St</t>
  </si>
  <si>
    <t>CITY OF CONCORD</t>
  </si>
  <si>
    <t>PO Box 308</t>
  </si>
  <si>
    <t>CITY OF GASTONIA</t>
  </si>
  <si>
    <t>PO Box 1748</t>
  </si>
  <si>
    <t>CITY OF HICKORY</t>
  </si>
  <si>
    <t>PO Box 398</t>
  </si>
  <si>
    <t>CITY OF KANNAPOLIS</t>
  </si>
  <si>
    <t>PO Box 1199</t>
  </si>
  <si>
    <t>28082</t>
  </si>
  <si>
    <t>CITY OF KINGS MOUNTAIN</t>
  </si>
  <si>
    <t>PO Box 429</t>
  </si>
  <si>
    <t>CITY OF LANCASTER</t>
  </si>
  <si>
    <t>PO Box 1149</t>
  </si>
  <si>
    <t>CITY OF LINCOLNTON</t>
  </si>
  <si>
    <t>PO Box 617</t>
  </si>
  <si>
    <t>28093</t>
  </si>
  <si>
    <t>PO Box 69</t>
  </si>
  <si>
    <t>CITY OF MOUNT HOLLY</t>
  </si>
  <si>
    <t>PO Box 406</t>
  </si>
  <si>
    <t>PO Box 550</t>
  </si>
  <si>
    <t>CITY OF ROCK HILL</t>
  </si>
  <si>
    <t>PO Box 11706</t>
  </si>
  <si>
    <t>29731</t>
  </si>
  <si>
    <t>CITY OF SALISBURY</t>
  </si>
  <si>
    <t>PO Box 479</t>
  </si>
  <si>
    <t>CITY OF SHELBY</t>
  </si>
  <si>
    <t>PO Box 207</t>
  </si>
  <si>
    <t>PO Box 1111</t>
  </si>
  <si>
    <t>CITY OF YORK</t>
  </si>
  <si>
    <t>10 N Roosevelt St</t>
  </si>
  <si>
    <t>CLARIANT CORP USA</t>
  </si>
  <si>
    <t>4000 Monroe Rd</t>
  </si>
  <si>
    <t>28205</t>
  </si>
  <si>
    <t>CLARKE AMERICAN CHECKS INC</t>
  </si>
  <si>
    <t>9711 David Taylor Dr</t>
  </si>
  <si>
    <t>PO Box 480127</t>
  </si>
  <si>
    <t>CLASSIC LEATHER INC</t>
  </si>
  <si>
    <t>PO Box 2404</t>
  </si>
  <si>
    <t>CLASSIC MOVING &amp; STORAGE INC</t>
  </si>
  <si>
    <t>1123 Fourth St SW</t>
  </si>
  <si>
    <t>CLAY HYDER TRUCKING LINES INC</t>
  </si>
  <si>
    <t>8814 Dietz Ave</t>
  </si>
  <si>
    <t>CLAYTON MARCUS CO</t>
  </si>
  <si>
    <t>PO Box 100</t>
  </si>
  <si>
    <t>CLAYTON MARCUS CO INC</t>
  </si>
  <si>
    <t>3030 Falling Creek Rd</t>
  </si>
  <si>
    <t>28601</t>
  </si>
  <si>
    <t>CLAYTON RICHFIELD</t>
  </si>
  <si>
    <t>Richfield</t>
  </si>
  <si>
    <t>28137</t>
  </si>
  <si>
    <t>CLEAR CHANNEL COMMUNICATIONS INC</t>
  </si>
  <si>
    <t>801 Woodridge Center Dr</t>
  </si>
  <si>
    <t>CLEVELAND COMMUNITY COLLEGE</t>
  </si>
  <si>
    <t>137 S Post Rd</t>
  </si>
  <si>
    <t>28152</t>
  </si>
  <si>
    <t>CLEVELAND COUNTY</t>
  </si>
  <si>
    <t>PO Box 1210</t>
  </si>
  <si>
    <t>CLEVELAND COUNTY BOARD OF EDUCATION</t>
  </si>
  <si>
    <t>130 S Post Rd, Suite 2</t>
  </si>
  <si>
    <t>CLEVELAND COUNTY FAMILY YMCA</t>
  </si>
  <si>
    <t>PO Box 2272</t>
  </si>
  <si>
    <t>CLEVELAND COUNTY HEALTHCARE SYSTEMS</t>
  </si>
  <si>
    <t>201 E Grover St</t>
  </si>
  <si>
    <t>CLEVELAND VOCATIONAL INDUSTRIES INC</t>
  </si>
  <si>
    <t>650 N Post Rd</t>
  </si>
  <si>
    <t>CLONINGER FORD INC</t>
  </si>
  <si>
    <t>511 Jake Alexander Blvd S</t>
  </si>
  <si>
    <t>28147</t>
  </si>
  <si>
    <t>CLOVER SCHOOL DISTRICT TWO OF YORK COUNTY</t>
  </si>
  <si>
    <t>604 Bethel St</t>
  </si>
  <si>
    <t>Clover</t>
  </si>
  <si>
    <t>29710</t>
  </si>
  <si>
    <t>CLOVERTEX LLC</t>
  </si>
  <si>
    <t>PO Box 440</t>
  </si>
  <si>
    <t>CM TUCKER LUMBER COMPANIES LLC</t>
  </si>
  <si>
    <t>Pageland</t>
  </si>
  <si>
    <t>29728</t>
  </si>
  <si>
    <t>PO Box 1083</t>
  </si>
  <si>
    <t>COATS NORTH AMERICA</t>
  </si>
  <si>
    <t>3430 Toringdon Way, Suite 301</t>
  </si>
  <si>
    <t>COCA-COLA BOTTLING CO CONSOLIDATED</t>
  </si>
  <si>
    <t>4100 Coca-Cola Plaza</t>
  </si>
  <si>
    <t>COCHRANE FURNITURE CO INC</t>
  </si>
  <si>
    <t>PO Box 220</t>
  </si>
  <si>
    <t>COFFING HOISTS</t>
  </si>
  <si>
    <t>PO Box 779</t>
  </si>
  <si>
    <t>9405 Arrowpoint Blvd</t>
  </si>
  <si>
    <t>COLDWELL BANKER UNITED, REALTORS NC</t>
  </si>
  <si>
    <t>3440 Toringdon Way, Suite 100</t>
  </si>
  <si>
    <t>COLLINS &amp; AIKMAN CORP</t>
  </si>
  <si>
    <t>PO Box 580</t>
  </si>
  <si>
    <t>28801</t>
  </si>
  <si>
    <t>COMAG MARKETING GROUP LLC</t>
  </si>
  <si>
    <t>214 N Tryon St</t>
  </si>
  <si>
    <t>COMMSCOPE INC</t>
  </si>
  <si>
    <t>PO Box 1729</t>
  </si>
  <si>
    <t>COMMUNITY ALTERNATIVES OF NORTH CAROLINA</t>
  </si>
  <si>
    <t>3401 Vardell Ln, Suite D</t>
  </si>
  <si>
    <t>COMPASS GROUP</t>
  </si>
  <si>
    <t>2400 Yorkmont Rd</t>
  </si>
  <si>
    <t>COMPORIUM GROUP</t>
  </si>
  <si>
    <t>330 E Black St</t>
  </si>
  <si>
    <t>COMPUWARE CORP</t>
  </si>
  <si>
    <t>121 W Trade St, Suite 2300</t>
  </si>
  <si>
    <t>CONBRACO INDUSTRIES INC</t>
  </si>
  <si>
    <t>PO Box 247</t>
  </si>
  <si>
    <t>150 Warren Coleman Blvd</t>
  </si>
  <si>
    <t>CONCRETE SUPPLY CO</t>
  </si>
  <si>
    <t>PO Box 5247</t>
  </si>
  <si>
    <t>28299</t>
  </si>
  <si>
    <t>CONITEX-SONOCO USA INC</t>
  </si>
  <si>
    <t>1302 Industrial Pike Rd</t>
  </si>
  <si>
    <t>CONNEXTIONS INC</t>
  </si>
  <si>
    <t>International Dr</t>
  </si>
  <si>
    <t>CONSOLIDATED METCO</t>
  </si>
  <si>
    <t>PO Box 907</t>
  </si>
  <si>
    <t>CONSOLIDATED THEATRES LLC</t>
  </si>
  <si>
    <t>5970 Fairview Rd, Suite 600</t>
  </si>
  <si>
    <t>CONSTAR INTERNATIONAL INC</t>
  </si>
  <si>
    <t>CONTINENTAL TIRE NORTH AMERICA</t>
  </si>
  <si>
    <t>1900 Continental Blvd</t>
  </si>
  <si>
    <t>PO Box 7500</t>
  </si>
  <si>
    <t>CONVERGUS CORP</t>
  </si>
  <si>
    <t>10101 Claude Freeman Dr</t>
  </si>
  <si>
    <t>CON-WAY SOUTHERN EXPRESS</t>
  </si>
  <si>
    <t>6701 Old Statesville Rd</t>
  </si>
  <si>
    <t>COOK OUT RESTAURANT</t>
  </si>
  <si>
    <t>1301 W Sugar Creek Rd</t>
  </si>
  <si>
    <t>COOKSON CO, THE</t>
  </si>
  <si>
    <t>PO Box 2757</t>
  </si>
  <si>
    <t>COOPER HAND TOOLS</t>
  </si>
  <si>
    <t>PO Box 5027</t>
  </si>
  <si>
    <t>COOPERSTOWN DREAMS PARK INC</t>
  </si>
  <si>
    <t>330 S Main St</t>
  </si>
  <si>
    <t>CORESTAFF SERVICES</t>
  </si>
  <si>
    <t>5821 Fairview Rd, Suite 117</t>
  </si>
  <si>
    <t>COURTLAND TERRACE</t>
  </si>
  <si>
    <t>2300 Aberdeen Blvd</t>
  </si>
  <si>
    <t>COVALENCE PLASTICS</t>
  </si>
  <si>
    <t>1921 Freedom Dr</t>
  </si>
  <si>
    <t>COVENANT DAY SCHOOL</t>
  </si>
  <si>
    <t>800 Fullwood Ln</t>
  </si>
  <si>
    <t>COVINGTON/DETROIT DIESEL-ALLISON CORPORATION</t>
  </si>
  <si>
    <t>1815 Starita Rd</t>
  </si>
  <si>
    <t>CP MORGAN COMMUNITIES</t>
  </si>
  <si>
    <t>9401 Southern Pine Blvd, Suite U</t>
  </si>
  <si>
    <t>CR LAINE FURNITURE CO INC</t>
  </si>
  <si>
    <t>PO Box 2128</t>
  </si>
  <si>
    <t>CRAFTMASTER FURNITURE CORP</t>
  </si>
  <si>
    <t>CRANFORD FURNITURE</t>
  </si>
  <si>
    <t>PO Box 9007</t>
  </si>
  <si>
    <t>PO Box 1003</t>
  </si>
  <si>
    <t>CROSLAND INC</t>
  </si>
  <si>
    <t>227 W Trade St, Suite 800</t>
  </si>
  <si>
    <t>CROWDER CONSTRUCTION CO</t>
  </si>
  <si>
    <t>PO Box 30007</t>
  </si>
  <si>
    <t>CROWN BEVERAGE PACKAGING</t>
  </si>
  <si>
    <t>CROWN HONDA OF CHARLOTTE</t>
  </si>
  <si>
    <t>7001 E Independence Blvd</t>
  </si>
  <si>
    <t>CSA LLC</t>
  </si>
  <si>
    <t>128 Speedway Dr</t>
  </si>
  <si>
    <t>28117</t>
  </si>
  <si>
    <t>CT COMMUNICATIONS INC</t>
  </si>
  <si>
    <t>PO Box 227</t>
  </si>
  <si>
    <t>CT GROUP</t>
  </si>
  <si>
    <t>PO Box 339</t>
  </si>
  <si>
    <t>2100 Sterling Dr</t>
  </si>
  <si>
    <t>28001</t>
  </si>
  <si>
    <t>CULP BROTHERS INC</t>
  </si>
  <si>
    <t>3300 Bethlehem Church Rd</t>
  </si>
  <si>
    <t>Gold Hill</t>
  </si>
  <si>
    <t>28071</t>
  </si>
  <si>
    <t>CUMMINS ATLANTIC INC</t>
  </si>
  <si>
    <t>PO Box 7787</t>
  </si>
  <si>
    <t>CUMULUS FIBERS INC</t>
  </si>
  <si>
    <t>1101 Tarhill Rd</t>
  </si>
  <si>
    <t>CURTISS-WRIGHT CONTROLS INC</t>
  </si>
  <si>
    <t>15800 John J Delaney Dr, Suite 200</t>
  </si>
  <si>
    <t>CURVES</t>
  </si>
  <si>
    <t>2910G Mount Holly-Huntersville Rd</t>
  </si>
  <si>
    <t>28214</t>
  </si>
  <si>
    <t>CUSTOM GLASS PRODUCTS</t>
  </si>
  <si>
    <t>CUSTOM PALLET &amp; CRATING INC</t>
  </si>
  <si>
    <t>5104 N Graham St</t>
  </si>
  <si>
    <t>CUSTOM PRODUCTS INC</t>
  </si>
  <si>
    <t>PO Box 1141</t>
  </si>
  <si>
    <t>CUTTING SYSTEMS INC</t>
  </si>
  <si>
    <t>774 Zeb Rd</t>
  </si>
  <si>
    <t>Union Grove</t>
  </si>
  <si>
    <t>28689</t>
  </si>
  <si>
    <t>CVS CORP</t>
  </si>
  <si>
    <t>One CVS Dr</t>
  </si>
  <si>
    <t>Woonsocket</t>
  </si>
  <si>
    <t>RI</t>
  </si>
  <si>
    <t>02895</t>
  </si>
  <si>
    <t>CYPRESS OF CHARLOTTE, THE</t>
  </si>
  <si>
    <t>3442 Cypress Club Dr</t>
  </si>
  <si>
    <t>DALE EARNHARDT INC</t>
  </si>
  <si>
    <t>1675 Coddle Creek Rd</t>
  </si>
  <si>
    <t>DALE JARRETT AUTOMOTIVE GROUP</t>
  </si>
  <si>
    <t>88 Dale Jarrett Blvd</t>
  </si>
  <si>
    <t>DANAHER TOOL GROUP</t>
  </si>
  <si>
    <t>1228 Isley Dr</t>
  </si>
  <si>
    <t>PO Box 593330</t>
  </si>
  <si>
    <t>Orlando</t>
  </si>
  <si>
    <t>DAVE AND BUSTER'S</t>
  </si>
  <si>
    <t>8361 Concord Mills Blvd</t>
  </si>
  <si>
    <t>DAVEY TREE EXPERT CO</t>
  </si>
  <si>
    <t>6039 McDaniel Ln</t>
  </si>
  <si>
    <t>DAVIDSON COLLEGE</t>
  </si>
  <si>
    <t>PO Box 7163</t>
  </si>
  <si>
    <t>Davidson</t>
  </si>
  <si>
    <t>28035</t>
  </si>
  <si>
    <t>DAVIS REGIONAL MEDICAL CENTER</t>
  </si>
  <si>
    <t>PO Box 1823</t>
  </si>
  <si>
    <t>1035 Commercial Dr</t>
  </si>
  <si>
    <t>560 Broadway</t>
  </si>
  <si>
    <t>10012</t>
  </si>
  <si>
    <t>DECORE-ATIVE SPECIALTIES</t>
  </si>
  <si>
    <t>701 Industrial Dr</t>
  </si>
  <si>
    <t>DELHAIZE AMERICA INC/FOOD LION LLC</t>
  </si>
  <si>
    <t>DELOITTE &amp; TOUCHE</t>
  </si>
  <si>
    <t>227 W Trade St, Suite 1100</t>
  </si>
  <si>
    <t>DELTA APPAREL CO</t>
  </si>
  <si>
    <t>PO Box 37</t>
  </si>
  <si>
    <t>9415 Stockport Pl</t>
  </si>
  <si>
    <t>DETAILS INC</t>
  </si>
  <si>
    <t>115D N Commercial Dr</t>
  </si>
  <si>
    <t>4200 Yorkmont Rd</t>
  </si>
  <si>
    <t>300 Industry Dr</t>
  </si>
  <si>
    <t>15275</t>
  </si>
  <si>
    <t>DIETRICH METAL FRAMING INC</t>
  </si>
  <si>
    <t>3162 Worthington Way</t>
  </si>
  <si>
    <t>DIGITAL OPTICS CORP</t>
  </si>
  <si>
    <t>9815 David Taylor Dr</t>
  </si>
  <si>
    <t>DILLARDS INC</t>
  </si>
  <si>
    <t>1315 Peach Orchard Rd</t>
  </si>
  <si>
    <t>DIMENSION DATA</t>
  </si>
  <si>
    <t>11006 Rushmore Dr, Suite 300</t>
  </si>
  <si>
    <t>DISCOVERY PLACE INC</t>
  </si>
  <si>
    <t>301 N Tryon St</t>
  </si>
  <si>
    <t>DIXON HUGHES PLLC</t>
  </si>
  <si>
    <t>6525 Morrison Blvd, Suite 516</t>
  </si>
  <si>
    <t>DM BOWMAN INC</t>
  </si>
  <si>
    <t>12801 Mount Holly-Huntersville Rd</t>
  </si>
  <si>
    <t>DMSI</t>
  </si>
  <si>
    <t>PO Box 7112</t>
  </si>
  <si>
    <t>DNP IMS AMERICA CORP</t>
  </si>
  <si>
    <t>4524 Enterprise Dr</t>
  </si>
  <si>
    <t>DOMINO'S PIZZA</t>
  </si>
  <si>
    <t>9107 S Tryon St, Suite F</t>
  </si>
  <si>
    <t>DOOLEY CONSTRUCTION LP</t>
  </si>
  <si>
    <t>PO Box 11372</t>
  </si>
  <si>
    <t>DR HORTON/TORREY HOMES</t>
  </si>
  <si>
    <t>1100 S Tryon St</t>
  </si>
  <si>
    <t>DRAKA COMTEQ USA</t>
  </si>
  <si>
    <t>PO Box 39</t>
  </si>
  <si>
    <t>DRAKE PRECISION DENTAL LABORATORY</t>
  </si>
  <si>
    <t>8510 Crown Crecent Ct</t>
  </si>
  <si>
    <t>DREXEL HERITAGE FURNISHINGS</t>
  </si>
  <si>
    <t>300 2nd Ave NW</t>
  </si>
  <si>
    <t>DSC LOGISTICS INC</t>
  </si>
  <si>
    <t>12801 Jamesburg Dr</t>
  </si>
  <si>
    <t>DUDLEY'S HOME HEALTH INC</t>
  </si>
  <si>
    <t>613 Sullivan Rd</t>
  </si>
  <si>
    <t>DUFF-NORTON CO INC</t>
  </si>
  <si>
    <t>PO Box 7010</t>
  </si>
  <si>
    <t>DUNN MANUFACTURING CO</t>
  </si>
  <si>
    <t>PO Box 5017</t>
  </si>
  <si>
    <t>DUNN SOUTHEAST</t>
  </si>
  <si>
    <t>5970 Fairview Rd, Suite 500</t>
  </si>
  <si>
    <t>DURACELL USA</t>
  </si>
  <si>
    <t>PO Box 500</t>
  </si>
  <si>
    <t>29721</t>
  </si>
  <si>
    <t>DYSTAR LP</t>
  </si>
  <si>
    <t>9844A Southern Pine Blvd</t>
  </si>
  <si>
    <t>EAGLE MOUNTAIN FINISHING LLC</t>
  </si>
  <si>
    <t>651 Eagle Rd</t>
  </si>
  <si>
    <t>Cramerton</t>
  </si>
  <si>
    <t>28032</t>
  </si>
  <si>
    <t>EAST COAST METAL DISTRIBUTORS INC</t>
  </si>
  <si>
    <t>3801M Woodpark Blvd</t>
  </si>
  <si>
    <t>PO Box 11707</t>
  </si>
  <si>
    <t>EATON CORP</t>
  </si>
  <si>
    <t>PO Box 1728</t>
  </si>
  <si>
    <t>ECKERD CORP</t>
  </si>
  <si>
    <t>50 Service Ave</t>
  </si>
  <si>
    <t>Warwick</t>
  </si>
  <si>
    <t>02886</t>
  </si>
  <si>
    <t>EDWARD JONES</t>
  </si>
  <si>
    <t>305 N Caswell Rd</t>
  </si>
  <si>
    <t>EDWARDS WOOD PRODUCTS INC</t>
  </si>
  <si>
    <t>PO Box 219</t>
  </si>
  <si>
    <t>EFC HOLDINGS CORP</t>
  </si>
  <si>
    <t>500 Forest Point Cir</t>
  </si>
  <si>
    <t>ELCO TEXTRON INC</t>
  </si>
  <si>
    <t>614 Hwy 200 S</t>
  </si>
  <si>
    <t>Stanfield</t>
  </si>
  <si>
    <t>28163</t>
  </si>
  <si>
    <t>ELECTRIC POWER RESEARCH INSTITUTE</t>
  </si>
  <si>
    <t>1300 WT Harris Blvd</t>
  </si>
  <si>
    <t>ELITE GENETICS</t>
  </si>
  <si>
    <t>1528 Hasty Rd</t>
  </si>
  <si>
    <t>ELIZABETH PLACE</t>
  </si>
  <si>
    <t>333 Hawthorne Ln</t>
  </si>
  <si>
    <t>ELMER'S PRODUCTS INC</t>
  </si>
  <si>
    <t>PO Box 5099</t>
  </si>
  <si>
    <t>EMPIRE DISTRIBUTORS OF NC</t>
  </si>
  <si>
    <t>5417 Wyoming Ave</t>
  </si>
  <si>
    <t>EMPLOYEE BENEFIT SERVICES INC</t>
  </si>
  <si>
    <t>534 Rivercrossing Dr</t>
  </si>
  <si>
    <t>ENGINE POWER SOURCE INC</t>
  </si>
  <si>
    <t>PO Box 410488</t>
  </si>
  <si>
    <t>911 Industrial Dr SW</t>
  </si>
  <si>
    <t>ENGINEERED SINTERED COMPONENTS CO</t>
  </si>
  <si>
    <t>250 Old Murdock Rd</t>
  </si>
  <si>
    <t>ENOVIA CORP</t>
  </si>
  <si>
    <t>10330 David Taylor Dr</t>
  </si>
  <si>
    <t>ENTERPRISE RENT-A-CAR</t>
  </si>
  <si>
    <t>5715 Westpark Dr, Suite 200</t>
  </si>
  <si>
    <t>ENTERTAINMENT DISTRIBUTION CO</t>
  </si>
  <si>
    <t>PO Box 400</t>
  </si>
  <si>
    <t>ENVIRONMENTAL SERVICE SYSTEMS LLC</t>
  </si>
  <si>
    <t>521 Clanton Rd, Suite E</t>
  </si>
  <si>
    <t>EQUITY RESIDENTIAL PROPERTIES</t>
  </si>
  <si>
    <t>7504 E Independence Blvd, Suite 109</t>
  </si>
  <si>
    <t>ERNST &amp; YOUNG LLP</t>
  </si>
  <si>
    <t>100 N Tryon St, Suite 3800</t>
  </si>
  <si>
    <t>ESP ASSOCIATES PA</t>
  </si>
  <si>
    <t>PO Box 7030</t>
  </si>
  <si>
    <t>ESPN REGIONAL TELEVISION</t>
  </si>
  <si>
    <t>11001 Rushmore Dr</t>
  </si>
  <si>
    <t>ESTES EXPRESS LINES</t>
  </si>
  <si>
    <t>PO Box 26862</t>
  </si>
  <si>
    <t>28221</t>
  </si>
  <si>
    <t>ETHAN ALLEN INC</t>
  </si>
  <si>
    <t>700 S Main Ave</t>
  </si>
  <si>
    <t>ETTAIN GROUP INC</t>
  </si>
  <si>
    <t>127 W Worthington Ave, Suite 100</t>
  </si>
  <si>
    <t>EVERNHAM MOTORSPORTS LLC</t>
  </si>
  <si>
    <t>320 Aviation Dr</t>
  </si>
  <si>
    <t>F SCHUMACHER &amp; CO</t>
  </si>
  <si>
    <t>1247 Frederic Dr</t>
  </si>
  <si>
    <t>F&amp;M BANK</t>
  </si>
  <si>
    <t>420 N Main St</t>
  </si>
  <si>
    <t>FABRICATION ASSOCIATES INC</t>
  </si>
  <si>
    <t>PO Box 25326</t>
  </si>
  <si>
    <t>28229</t>
  </si>
  <si>
    <t>FAISON &amp; ASSOCIATES LLC</t>
  </si>
  <si>
    <t>121 W Trade St, Suite 2700</t>
  </si>
  <si>
    <t>FAMILY DOLLAR STORES INC</t>
  </si>
  <si>
    <t>PO Box 1017</t>
  </si>
  <si>
    <t>FDY FOOD SERVICE INC</t>
  </si>
  <si>
    <t>3401B Saint Vardell Ln</t>
  </si>
  <si>
    <t>FEDERAL EXPRESS CORP</t>
  </si>
  <si>
    <t>7621 Little Ave</t>
  </si>
  <si>
    <t>FEDERAL RESERVE BANK OF RICHMOND</t>
  </si>
  <si>
    <t>PO Box 30248</t>
  </si>
  <si>
    <t>FEDEX FREIGHT</t>
  </si>
  <si>
    <t>4349 Scott Futrell Dr</t>
  </si>
  <si>
    <t>FEDEX GROUND</t>
  </si>
  <si>
    <t>6600 CSX Way</t>
  </si>
  <si>
    <t>FEDEX NATIONAL LTL</t>
  </si>
  <si>
    <t>1001 Carrier Dr</t>
  </si>
  <si>
    <t>FEREBEE CORP</t>
  </si>
  <si>
    <t>PO Box 480066</t>
  </si>
  <si>
    <t>FERGUSON SUPPLY &amp; BOX MANUFACTURING CO</t>
  </si>
  <si>
    <t>2500 Cindy Ln</t>
  </si>
  <si>
    <t>FIBER AND YARN PRODUCTS INC</t>
  </si>
  <si>
    <t>PO Box 9520</t>
  </si>
  <si>
    <t>FIBER COMPOSITES LLC</t>
  </si>
  <si>
    <t>181 Random Dr</t>
  </si>
  <si>
    <t>New London</t>
  </si>
  <si>
    <t>28127</t>
  </si>
  <si>
    <t>FIDELITY INFORMATION SERVICES</t>
  </si>
  <si>
    <t>10200 Mallard Creek Rd</t>
  </si>
  <si>
    <t>FILTRATION GROUP INC</t>
  </si>
  <si>
    <t>1200 Filbert Hwy</t>
  </si>
  <si>
    <t>FIRESTONE FIBERS &amp; TEXTILES CO</t>
  </si>
  <si>
    <t>PO Box 1369</t>
  </si>
  <si>
    <t>FIRST CHARTER BANK</t>
  </si>
  <si>
    <t>PO Box 37937</t>
  </si>
  <si>
    <t>FIRST NATIONAL BANK OF ARIZONA</t>
  </si>
  <si>
    <t>13840 Ballantyne Corporate Pl, Suite 200</t>
  </si>
  <si>
    <t>FIRST NATIONAL BANK OF SHELBY</t>
  </si>
  <si>
    <t>PO Box 168</t>
  </si>
  <si>
    <t>FIVE OAKS MANOR LLC</t>
  </si>
  <si>
    <t>413 Winecoff School Rd</t>
  </si>
  <si>
    <t>FLO FOODS INC</t>
  </si>
  <si>
    <t>PO Box 240525</t>
  </si>
  <si>
    <t>FLOWERS FOODS</t>
  </si>
  <si>
    <t>348 Lenoir Rhyne Blvd SE</t>
  </si>
  <si>
    <t>FLUOR INTERCONTINENTAL INC</t>
  </si>
  <si>
    <t>6000 Fairview Rd</t>
  </si>
  <si>
    <t>FMC CORP</t>
  </si>
  <si>
    <t>2801 Yorkmont Rd, Suite 300</t>
  </si>
  <si>
    <t>FOAMEX INTERNATIONAL</t>
  </si>
  <si>
    <t>18801 Old Statesville Rd</t>
  </si>
  <si>
    <t>FOOTHILLS TRUCKING COMPANY</t>
  </si>
  <si>
    <t>PO Box 192</t>
  </si>
  <si>
    <t>FORMS &amp; SUPPLY INC</t>
  </si>
  <si>
    <t>PO Box 563953</t>
  </si>
  <si>
    <t>FOUNDERS FEDERAL CREDIT UNION</t>
  </si>
  <si>
    <t>607 N Main St</t>
  </si>
  <si>
    <t>29720</t>
  </si>
  <si>
    <t>FREEMANWHITE INC</t>
  </si>
  <si>
    <t>8025 Arrowridge Blvd</t>
  </si>
  <si>
    <t>FREIGHTLINER CORP LLC</t>
  </si>
  <si>
    <t>PO Box 399</t>
  </si>
  <si>
    <t>FREIGHTLINER OF CHARLOTTE</t>
  </si>
  <si>
    <t>4420 N Graham St</t>
  </si>
  <si>
    <t>23206</t>
  </si>
  <si>
    <t>FREIRICH FOODS</t>
  </si>
  <si>
    <t>PO Box 1529</t>
  </si>
  <si>
    <t>FRITO-LAY INC</t>
  </si>
  <si>
    <t>2911 Nevada Blvd</t>
  </si>
  <si>
    <t>FRYE ELECTRIC CO</t>
  </si>
  <si>
    <t>PO Box 240785</t>
  </si>
  <si>
    <t>FRYE REGIONAL MEDICAL CENTER</t>
  </si>
  <si>
    <t>420 N Center St</t>
  </si>
  <si>
    <t>FUN TEES INC</t>
  </si>
  <si>
    <t>PO Box 187</t>
  </si>
  <si>
    <t>GAINES MOTOR LINES INC</t>
  </si>
  <si>
    <t>PO Box 1549</t>
  </si>
  <si>
    <t>GALVAN INDUSTRIES</t>
  </si>
  <si>
    <t>PO Box 369</t>
  </si>
  <si>
    <t>GAMEWELL MECHANICAL</t>
  </si>
  <si>
    <t>1417 Jake Alexander Blvd S</t>
  </si>
  <si>
    <t>GAP INC</t>
  </si>
  <si>
    <t>2 Folsom St</t>
  </si>
  <si>
    <t>94105</t>
  </si>
  <si>
    <t>GARBAGE DISPOSAL SERVICE INC</t>
  </si>
  <si>
    <t>4062 Section House Rd</t>
  </si>
  <si>
    <t>GARDNER-WEBB UNIVERSITY</t>
  </si>
  <si>
    <t>PO Box 997</t>
  </si>
  <si>
    <t>Boiling Springs</t>
  </si>
  <si>
    <t>28017</t>
  </si>
  <si>
    <t>GASTON COLLEGE</t>
  </si>
  <si>
    <t>201 Hwy 321 S</t>
  </si>
  <si>
    <t>28034</t>
  </si>
  <si>
    <t>GASTON COUNTY</t>
  </si>
  <si>
    <t>128 W Main Ave</t>
  </si>
  <si>
    <t>GASTON COUNTY DYEING MACHINE CO</t>
  </si>
  <si>
    <t>GASTON COUNTY FAMILY YMCA</t>
  </si>
  <si>
    <t>201 S Clay St</t>
  </si>
  <si>
    <t>GASTON COUNTY SCHOOLS</t>
  </si>
  <si>
    <t>PO Box 1397</t>
  </si>
  <si>
    <t>GASTON ELECTRONICS LLC</t>
  </si>
  <si>
    <t>PO Box 927</t>
  </si>
  <si>
    <t>GASTON GAZETTE</t>
  </si>
  <si>
    <t>1893 Remount Rd</t>
  </si>
  <si>
    <t>GASTON SKILLS INC</t>
  </si>
  <si>
    <t>1301 Bessemer City Rd</t>
  </si>
  <si>
    <t>GASTONIA SHEET METAL WORKS INC</t>
  </si>
  <si>
    <t>PO Box 12216</t>
  </si>
  <si>
    <t>GATES CONSTRUCTION CO INC</t>
  </si>
  <si>
    <t>PO Box 150</t>
  </si>
  <si>
    <t>GCA SERVICES</t>
  </si>
  <si>
    <t>125 Floyd Smith Dr, Suite 160</t>
  </si>
  <si>
    <t>GE SECURITY INC</t>
  </si>
  <si>
    <t>PO Box 2904</t>
  </si>
  <si>
    <t>GENERAL DYNAMICS ARMAMENT &amp; TECHNICAL PRODUCTS</t>
  </si>
  <si>
    <t>2118 Water Ridge Pkwy</t>
  </si>
  <si>
    <t>PO Box 850</t>
  </si>
  <si>
    <t>GENERAL ELECTRIC CO</t>
  </si>
  <si>
    <t>3135 Easton Turnpike</t>
  </si>
  <si>
    <t>Fairfield</t>
  </si>
  <si>
    <t>CT</t>
  </si>
  <si>
    <t>06828</t>
  </si>
  <si>
    <t>GENERAL MICROCIRCUITS INC</t>
  </si>
  <si>
    <t>PO Box 748</t>
  </si>
  <si>
    <t>10815 Quality Dr</t>
  </si>
  <si>
    <t>GENPAK LLC</t>
  </si>
  <si>
    <t>PO Box 7846</t>
  </si>
  <si>
    <t>GENWOVE US LTD</t>
  </si>
  <si>
    <t>GEORGE WESTON BAKERIES INC</t>
  </si>
  <si>
    <t>1029 Cox Rd</t>
  </si>
  <si>
    <t>GEORGIA-PACIFIC CORP</t>
  </si>
  <si>
    <t>PO Box 66</t>
  </si>
  <si>
    <t>GERDAU AMERISTEEL</t>
  </si>
  <si>
    <t>PO Box 481980</t>
  </si>
  <si>
    <t>GETRAG CORP</t>
  </si>
  <si>
    <t>1848 Getrag Pkwy</t>
  </si>
  <si>
    <t>GL WILSON BUILDING CO</t>
  </si>
  <si>
    <t>190 Wilson Park Rd</t>
  </si>
  <si>
    <t>GLAIZE COMPONENTS</t>
  </si>
  <si>
    <t>2312 Randolph Rd</t>
  </si>
  <si>
    <t>GLOBAL COMPLIANCE SERVICES INC</t>
  </si>
  <si>
    <t>13950 Ballantyne Corporate Pl, Suite 300</t>
  </si>
  <si>
    <t>GM NAMEPLATE</t>
  </si>
  <si>
    <t>PO Box 312</t>
  </si>
  <si>
    <t>GOOD WILL PUBLISHERS INC</t>
  </si>
  <si>
    <t>PO Box 269</t>
  </si>
  <si>
    <t>2730 W Tyvola Rd</t>
  </si>
  <si>
    <t>GOODWILL INDUSTRIES OF THE SOUTHERN PIEDMONT</t>
  </si>
  <si>
    <t>PO Box 668768</t>
  </si>
  <si>
    <t>GOODYEAR TIRE AND RUBBER CO, THE</t>
  </si>
  <si>
    <t>108 Business Park Dr</t>
  </si>
  <si>
    <t>PO Box 5025</t>
  </si>
  <si>
    <t>GRAHAM FOODS LLC</t>
  </si>
  <si>
    <t>GRANITE CONTRACTING LLC</t>
  </si>
  <si>
    <t>545B Pitts School Rd NW</t>
  </si>
  <si>
    <t>GRANT THORNTON LLP</t>
  </si>
  <si>
    <t>201 S College St, Suite 2500</t>
  </si>
  <si>
    <t>GRAPHIC PACKAGING INTERNATIONAL</t>
  </si>
  <si>
    <t>800 Westinghouse Blvd</t>
  </si>
  <si>
    <t>GREAT ATLANTIC NEWS LLC</t>
  </si>
  <si>
    <t>2032 Gateway Blvd</t>
  </si>
  <si>
    <t>GREGORY WOOD PRODUCTS</t>
  </si>
  <si>
    <t>2800 Woodtech Dr</t>
  </si>
  <si>
    <t>GREINER BIO-ONE NORTH AMERICA</t>
  </si>
  <si>
    <t>4238 Capital Dr</t>
  </si>
  <si>
    <t>GRIFFITHS INC</t>
  </si>
  <si>
    <t>357 First Ave NW</t>
  </si>
  <si>
    <t>GUARDIAN HEALTH SERVICE LLC</t>
  </si>
  <si>
    <t>343 Second St NW</t>
  </si>
  <si>
    <t>GUARDIAN INDUSTRIES INC</t>
  </si>
  <si>
    <t>610 L &amp; C Distribution Park</t>
  </si>
  <si>
    <t>GULISTAN CARPET INC</t>
  </si>
  <si>
    <t>PO Box 10</t>
  </si>
  <si>
    <t>Turnersburg</t>
  </si>
  <si>
    <t>28688</t>
  </si>
  <si>
    <t>H&amp;R BLOCK INC</t>
  </si>
  <si>
    <t>916 E Morehead St</t>
  </si>
  <si>
    <t>HADDON HOUSE FOOD PRODUCTS</t>
  </si>
  <si>
    <t>578B L and C Distribution</t>
  </si>
  <si>
    <t>HALDEX HYDRAULICS CORP</t>
  </si>
  <si>
    <t>214 James Farm Rd</t>
  </si>
  <si>
    <t>HANCOCK AND MOORE INC</t>
  </si>
  <si>
    <t>PO Box 3444</t>
  </si>
  <si>
    <t>HAND HELD PRODUCTS INC</t>
  </si>
  <si>
    <t>7510 E Independence Blvd, Suite 230</t>
  </si>
  <si>
    <t>HANES INDUSTRIES INC</t>
  </si>
  <si>
    <t>PO Box 457</t>
  </si>
  <si>
    <t>HANESBRANDS INC</t>
  </si>
  <si>
    <t>705 Canterbury Rd</t>
  </si>
  <si>
    <t>HANSON BRICK &amp; TILE</t>
  </si>
  <si>
    <t>PO Box 5012</t>
  </si>
  <si>
    <t>HARDEE'S</t>
  </si>
  <si>
    <t>505 N Seventh St, Suite 3610</t>
  </si>
  <si>
    <t>St. Louis</t>
  </si>
  <si>
    <t>MO</t>
  </si>
  <si>
    <t>63101</t>
  </si>
  <si>
    <t>HARPER CORP OF AMERICA</t>
  </si>
  <si>
    <t>PO Box 410369</t>
  </si>
  <si>
    <t>HARPER'S</t>
  </si>
  <si>
    <t>1228 E Morehead St, Suite 100</t>
  </si>
  <si>
    <t>HARRELSON FORD INC</t>
  </si>
  <si>
    <t>PO Box 240278</t>
  </si>
  <si>
    <t>HARRIS TEETER INC</t>
  </si>
  <si>
    <t>701 Crestdale Dr</t>
  </si>
  <si>
    <t>HARRISDIRECT</t>
  </si>
  <si>
    <t>4235 S Stream Blvd</t>
  </si>
  <si>
    <t>HARTFORD INSURANCE, THE</t>
  </si>
  <si>
    <t>PO Box 29611</t>
  </si>
  <si>
    <t>HARTMANN-CONCO INC</t>
  </si>
  <si>
    <t>481 Lakeshore Pkwy</t>
  </si>
  <si>
    <t>HBD INDUSTRIES</t>
  </si>
  <si>
    <t>PO Box 948</t>
  </si>
  <si>
    <t>HD SUPPLY CO</t>
  </si>
  <si>
    <t>10000 Metromont Industrial Blvd</t>
  </si>
  <si>
    <t>HDR ENGINEERING INC OF THE CAROLINAS/HDR ARCHITECTURE</t>
  </si>
  <si>
    <t>128 S Tryon St, Suite 1400</t>
  </si>
  <si>
    <t>HEALTH &amp; HOME SERVICES</t>
  </si>
  <si>
    <t>910 US Highway 321 NW</t>
  </si>
  <si>
    <t>HEALTHCARE RESOURCE ASSOCIATES INC</t>
  </si>
  <si>
    <t>13730 S Point Blvd</t>
  </si>
  <si>
    <t>HEDRICK EATMAN GARDNER &amp; KINCHELOE LLP</t>
  </si>
  <si>
    <t>PO Box 30397</t>
  </si>
  <si>
    <t>HELEN ADAMS REALTY</t>
  </si>
  <si>
    <t>2301 Randolph Rd</t>
  </si>
  <si>
    <t>HELLA LIGHTING CORP</t>
  </si>
  <si>
    <t>7979 Park Place Rd</t>
  </si>
  <si>
    <t>HELMS MULLISS &amp; WICKER PLLC</t>
  </si>
  <si>
    <t>PO Box 31247</t>
  </si>
  <si>
    <t>HENDRICK AUTOMOTIVE GROUP</t>
  </si>
  <si>
    <t>PO Box 18649</t>
  </si>
  <si>
    <t>28218</t>
  </si>
  <si>
    <t>HERFF JONES INC</t>
  </si>
  <si>
    <t>PO Box 1013</t>
  </si>
  <si>
    <t>HERSEY METERS CO</t>
  </si>
  <si>
    <t>PO Box 128</t>
  </si>
  <si>
    <t>PO Box 19046</t>
  </si>
  <si>
    <t>7201 Hewitt Associates Dr, Suite 500</t>
  </si>
  <si>
    <t>HEXCEL REINFORCEMENTS</t>
  </si>
  <si>
    <t>535 Conner St</t>
  </si>
  <si>
    <t>HICKORY BUSINESS FURNITURE</t>
  </si>
  <si>
    <t>PO Box 8</t>
  </si>
  <si>
    <t>HICKORY CHAIR CO</t>
  </si>
  <si>
    <t>PO Box 2147</t>
  </si>
  <si>
    <t>HICKORY CONSTRUCTION CO</t>
  </si>
  <si>
    <t>PO Box 1769</t>
  </si>
  <si>
    <t>HICKORY DAILY RECORD</t>
  </si>
  <si>
    <t>PO Box 968</t>
  </si>
  <si>
    <t>HICKORY GROVE BAPTIST CHURCH</t>
  </si>
  <si>
    <t>6050 Hickory Grove Rd</t>
  </si>
  <si>
    <t>HICKORY PRINTING GROUP INC, THE</t>
  </si>
  <si>
    <t>HICKORY PUBLIC SCHOOLS</t>
  </si>
  <si>
    <t>432 Fourth Ave SW</t>
  </si>
  <si>
    <t>HICKORY SPRINGS MANUFACTURING CO</t>
  </si>
  <si>
    <t>HICKORY TAVERN</t>
  </si>
  <si>
    <t>13900 Conlan Circle, Suite 240</t>
  </si>
  <si>
    <t>HICKORY WHITE CO</t>
  </si>
  <si>
    <t>PO Box 998</t>
  </si>
  <si>
    <t>HIGHLAND INDUSTRIES INC</t>
  </si>
  <si>
    <t>650 Chesterfield Hwy</t>
  </si>
  <si>
    <t>HIGHLAND MILLS</t>
  </si>
  <si>
    <t>PO Box 33775</t>
  </si>
  <si>
    <t>28233</t>
  </si>
  <si>
    <t>HILTON</t>
  </si>
  <si>
    <t>9336 Civic Center Dr</t>
  </si>
  <si>
    <t>Beverly Hills</t>
  </si>
  <si>
    <t>90210</t>
  </si>
  <si>
    <t>HMS HOST CHARLOTTE DOUGLAS INTL AIRPORT #13</t>
  </si>
  <si>
    <t>5501 Josh Birmingham Pkwy</t>
  </si>
  <si>
    <t>HOLY ANGELS INC</t>
  </si>
  <si>
    <t>PO Box 710</t>
  </si>
  <si>
    <t>HOME DEPOT INC</t>
  </si>
  <si>
    <t>5600 77 Center Dr, Suite 100</t>
  </si>
  <si>
    <t>HOME HEALTH PROFESSIONALS</t>
  </si>
  <si>
    <t>2221 Edge Lake Dr, Suite 190</t>
  </si>
  <si>
    <t>HOMES BY OAKWOOD</t>
  </si>
  <si>
    <t>309 Viscount Rd</t>
  </si>
  <si>
    <t>Rockwell</t>
  </si>
  <si>
    <t>28138</t>
  </si>
  <si>
    <t>HORIZON EYE CARE</t>
  </si>
  <si>
    <t>135 S Sharon Amity Rd, Suite 100</t>
  </si>
  <si>
    <t>HORNWOOD INC</t>
  </si>
  <si>
    <t>766 Haileys Ferry Rd</t>
  </si>
  <si>
    <t>Lilesville</t>
  </si>
  <si>
    <t>28091</t>
  </si>
  <si>
    <t>HOSPICE &amp; PALLIATIVE CARE CHARLOTTE REGION</t>
  </si>
  <si>
    <t>1420 E Seventh St</t>
  </si>
  <si>
    <t>HOUSING AUTHORITY OF THE CITY OF CHARLOTTE</t>
  </si>
  <si>
    <t>PO Box 36795</t>
  </si>
  <si>
    <t>HOWARD BROTHERS ELECTRIC CO</t>
  </si>
  <si>
    <t>PO Box 240652</t>
  </si>
  <si>
    <t>HSBC MORTGAGE SERVICES</t>
  </si>
  <si>
    <t>3023 HSBC Way</t>
  </si>
  <si>
    <t>HUBBARD AUTOMOTIVE GROUP</t>
  </si>
  <si>
    <t>PO Box 240316</t>
  </si>
  <si>
    <t>HUGHES FIRE PROTECTION</t>
  </si>
  <si>
    <t>75 Odell School Rd</t>
  </si>
  <si>
    <t>HUNTER DOUGLAS PLEATED SHADES</t>
  </si>
  <si>
    <t>201 Southridge Pkwy</t>
  </si>
  <si>
    <t>Bessemer City</t>
  </si>
  <si>
    <t>28016</t>
  </si>
  <si>
    <t>HUNTER WOODS NURSING &amp; REHAB CENTER</t>
  </si>
  <si>
    <t>620 Tom Hunter Rd</t>
  </si>
  <si>
    <t>HUNTERSVILLE HARDWOODS INC</t>
  </si>
  <si>
    <t>11701 McCord Rd</t>
  </si>
  <si>
    <t>HUNTINGTON HOUSE INC</t>
  </si>
  <si>
    <t>PO Box 6231</t>
  </si>
  <si>
    <t>IBM CORP</t>
  </si>
  <si>
    <t>8501 IBM Dr</t>
  </si>
  <si>
    <t>ICCA/INTERNET SERVICES CORP</t>
  </si>
  <si>
    <t>PO Box 1329</t>
  </si>
  <si>
    <t>IDEAITALIA</t>
  </si>
  <si>
    <t>101 Somerset Dr NW</t>
  </si>
  <si>
    <t>IHOP</t>
  </si>
  <si>
    <t>450 N Brand Blvd</t>
  </si>
  <si>
    <t>Glendale</t>
  </si>
  <si>
    <t>91203</t>
  </si>
  <si>
    <t>IKON OFFICE SOLUTIONS</t>
  </si>
  <si>
    <t>5260 Parkway Plaza Blvd, Suite 130</t>
  </si>
  <si>
    <t>IMO INDUSTRIES INC</t>
  </si>
  <si>
    <t>PO Box 5020</t>
  </si>
  <si>
    <t>308 Springhill Farm Rd</t>
  </si>
  <si>
    <t>PO Box 390</t>
  </si>
  <si>
    <t>INDUSTRIAL DISTRIBUTION GROUP</t>
  </si>
  <si>
    <t>2100 The Oaks Pkwy</t>
  </si>
  <si>
    <t>INDUSTRIAL FABRICATORS INC</t>
  </si>
  <si>
    <t>PO Box 12885</t>
  </si>
  <si>
    <t>INDUSTRIAL PIPING INC</t>
  </si>
  <si>
    <t>INFINITY BROADCASTING</t>
  </si>
  <si>
    <t>INGERSOLL-RAND CO</t>
  </si>
  <si>
    <t>PO Box 1840</t>
  </si>
  <si>
    <t>28036</t>
  </si>
  <si>
    <t>INSOURCE CONTRACT SERVICES LLC</t>
  </si>
  <si>
    <t>5601 77 Center Dr, Suite 240</t>
  </si>
  <si>
    <t>INSPIRATIONAL NETWORK, THE</t>
  </si>
  <si>
    <t>7910 Crescent Executive Dr, 5th Floor</t>
  </si>
  <si>
    <t>INSULATING SERVICES INC</t>
  </si>
  <si>
    <t>PO Box 410722</t>
  </si>
  <si>
    <t>INTELICOAT TECHNOLOGIES</t>
  </si>
  <si>
    <t>700 Crestdale St</t>
  </si>
  <si>
    <t>INTERCONTINENTAL HOTELS GROUP</t>
  </si>
  <si>
    <t>3 Ravinia Dr, Suite 2000</t>
  </si>
  <si>
    <t>30346</t>
  </si>
  <si>
    <t>INTERIM HEALTHCARE</t>
  </si>
  <si>
    <t>141 Providence Rd</t>
  </si>
  <si>
    <t>INTERMEC TECHNOLOGIES CORP</t>
  </si>
  <si>
    <t>13509 South Point Blvd, Suite 100</t>
  </si>
  <si>
    <t>INTERNATIONAL CONSTRUCTION EQUIPMENT</t>
  </si>
  <si>
    <t>301 Warehouse Dr</t>
  </si>
  <si>
    <t>INTERNATIONAL LEGWARE GROUP</t>
  </si>
  <si>
    <t>PO Box 1088</t>
  </si>
  <si>
    <t>INTERNATIONAL PAPER CO</t>
  </si>
  <si>
    <t>PO Box 5879</t>
  </si>
  <si>
    <t>PO Box 668648</t>
  </si>
  <si>
    <t>PO Box 338</t>
  </si>
  <si>
    <t>INVISTA</t>
  </si>
  <si>
    <t>4501 Charlotte Park Dr</t>
  </si>
  <si>
    <t>INX INTERNATIONAL INK CO</t>
  </si>
  <si>
    <t>10820 Withers Cove Park Dr</t>
  </si>
  <si>
    <t>IPEX USA LLC</t>
  </si>
  <si>
    <t>PO Box 240696</t>
  </si>
  <si>
    <t>IREDELL COUNTY</t>
  </si>
  <si>
    <t>PO Box 788</t>
  </si>
  <si>
    <t>IREDELL MEMORIAL HOSPITAL INC</t>
  </si>
  <si>
    <t>PO Box 1828</t>
  </si>
  <si>
    <t>IREDELL-STATESVILLE SCHOOLS</t>
  </si>
  <si>
    <t>PO Box 911</t>
  </si>
  <si>
    <t>IRMC</t>
  </si>
  <si>
    <t>IRWIN INDUSTRIAL TOOL</t>
  </si>
  <si>
    <t>8935 North Pointe Executive Park Dr</t>
  </si>
  <si>
    <t>ITC MILLWORK LLC</t>
  </si>
  <si>
    <t>PO Box 1618</t>
  </si>
  <si>
    <t>J &amp; T UTILITY CONSTRUCTION</t>
  </si>
  <si>
    <t>PO Box 2129</t>
  </si>
  <si>
    <t>J•R OUTLET</t>
  </si>
  <si>
    <t>1515 E Broad St</t>
  </si>
  <si>
    <t>PO Box 248</t>
  </si>
  <si>
    <t>Waxhaw</t>
  </si>
  <si>
    <t>28173</t>
  </si>
  <si>
    <t>JACK HENRY &amp; ASSOCIATES INC</t>
  </si>
  <si>
    <t>4135 South Stream Blvd, Suite 300</t>
  </si>
  <si>
    <t>JACK IN THE BOX</t>
  </si>
  <si>
    <t>9330 Balboa Ave</t>
  </si>
  <si>
    <t>San Diego</t>
  </si>
  <si>
    <t>92123</t>
  </si>
  <si>
    <t>JACKSONLEA INC</t>
  </si>
  <si>
    <t>PO Box 699</t>
  </si>
  <si>
    <t>JACOBSEN</t>
  </si>
  <si>
    <t>PO Box 7708</t>
  </si>
  <si>
    <t>1634 Salisbury Rd</t>
  </si>
  <si>
    <t>PO Box 1834</t>
  </si>
  <si>
    <t>JEFFERSON WELLS INTERNATIONAL INC</t>
  </si>
  <si>
    <t>128 S Tryon St, Suite 1900</t>
  </si>
  <si>
    <t>JOAN FABRICS CORP</t>
  </si>
  <si>
    <t>PO Box 2090</t>
  </si>
  <si>
    <t>JOE GIBBS RACING INC</t>
  </si>
  <si>
    <t>13415 Reese Blvd, Suite W</t>
  </si>
  <si>
    <t>JOHN BOYLE &amp; CO INC</t>
  </si>
  <si>
    <t>PO Box 791</t>
  </si>
  <si>
    <t>JOHN DEERE SOUTHEAST ENGINEERING CENTER</t>
  </si>
  <si>
    <t>PO Box 7047</t>
  </si>
  <si>
    <t>JOHN WEILAND HOMES &amp; NEIGHBORHOODS</t>
  </si>
  <si>
    <t>8325 Arrowridge Blvd</t>
  </si>
  <si>
    <t>JOHNSON &amp; WALES UNIVERSITY</t>
  </si>
  <si>
    <t>801 W Trade St</t>
  </si>
  <si>
    <t>JOHNSON C SMITH UNIVERSITY</t>
  </si>
  <si>
    <t>100 Beatties Ford Rd</t>
  </si>
  <si>
    <t>JOSLYN CLARK CONTROLS INC</t>
  </si>
  <si>
    <t>2013 W Meeting St</t>
  </si>
  <si>
    <t>JP MORGAN CHASE</t>
  </si>
  <si>
    <t>806 Tyvola Rd, Suite 108</t>
  </si>
  <si>
    <t>JR COLE &amp; CO INC</t>
  </si>
  <si>
    <t>435 Minuet Ln</t>
  </si>
  <si>
    <t>K HOVANIAN HOMES</t>
  </si>
  <si>
    <t>5350 77 Center Dr, Suite 100</t>
  </si>
  <si>
    <t>PO Box 610</t>
  </si>
  <si>
    <t>KANNAPOLIS CITY SCHOOLS</t>
  </si>
  <si>
    <t>100 Denver St</t>
  </si>
  <si>
    <t>KB HOME</t>
  </si>
  <si>
    <t>6135 Lakeview Rd, Suite 250</t>
  </si>
  <si>
    <t>KEANE INC</t>
  </si>
  <si>
    <t>2201 Water Ridge Pkwy, Suite 500</t>
  </si>
  <si>
    <t>KEFFER AUTOMOTIVE GROUP</t>
  </si>
  <si>
    <t>8200 E Independence Blvd</t>
  </si>
  <si>
    <t>KEITH CORP, THE</t>
  </si>
  <si>
    <t>5935 Carnegie Blvd, Suite 200</t>
  </si>
  <si>
    <t>KELLER CRESCENT CO</t>
  </si>
  <si>
    <t>10500 Industrial Dr</t>
  </si>
  <si>
    <t>KELLER WILLIAMS REALTY</t>
  </si>
  <si>
    <t>2115 Rexford Rd, Suite 102</t>
  </si>
  <si>
    <t>KELLOGG'S SNACKS</t>
  </si>
  <si>
    <t>933 Louise Ave</t>
  </si>
  <si>
    <t>KELLY SERVICES</t>
  </si>
  <si>
    <t>11020 David Taylor Dr, Suite 110</t>
  </si>
  <si>
    <t>KENNEDY COVINGTON LOBDELL &amp; HICKMAN LLP</t>
  </si>
  <si>
    <t>Hearst Tower, 47th Floor, 214 N Tryon St</t>
  </si>
  <si>
    <t>PO Box 1842</t>
  </si>
  <si>
    <t>KEYS OF THE CAROLINAS, THE</t>
  </si>
  <si>
    <t>1715 Sharon Rd W</t>
  </si>
  <si>
    <t>KEYSTONE POWDERED METAL CO</t>
  </si>
  <si>
    <t>PO Box 189</t>
  </si>
  <si>
    <t>KINCAID FURNITURE CO INC</t>
  </si>
  <si>
    <t>PO Box 817</t>
  </si>
  <si>
    <t>KINDERCARE CORP</t>
  </si>
  <si>
    <t>9500 Monroe Rd</t>
  </si>
  <si>
    <t>PO Box 1179</t>
  </si>
  <si>
    <t>KING MACHINE OF CHARLOTTE</t>
  </si>
  <si>
    <t>3900 Westinghouse Blvd</t>
  </si>
  <si>
    <t>KINGS ELECTRONICS CO INC</t>
  </si>
  <si>
    <t>1685 Overview Dr</t>
  </si>
  <si>
    <t>KLINGSPOR ABRASIVES INC</t>
  </si>
  <si>
    <t>PO Box 2367</t>
  </si>
  <si>
    <t>K-MART CORP</t>
  </si>
  <si>
    <t>3100 W Big Beaver Rd</t>
  </si>
  <si>
    <t>Troy</t>
  </si>
  <si>
    <t>48084</t>
  </si>
  <si>
    <t>KNIGHT TRANSPORTATION INC</t>
  </si>
  <si>
    <t>7001 Statesville Rd</t>
  </si>
  <si>
    <t>KPMG LLP</t>
  </si>
  <si>
    <t>401 S Tryon St, Suite 2300</t>
  </si>
  <si>
    <t>KRISPY KREME DOUGHNUT CO</t>
  </si>
  <si>
    <t>370 Knollwood St, Suite 500</t>
  </si>
  <si>
    <t>Winston-Salem</t>
  </si>
  <si>
    <t>27103</t>
  </si>
  <si>
    <t>KROEHLER FURNITURE MANUFACTURING CO</t>
  </si>
  <si>
    <t>PO Box 1178</t>
  </si>
  <si>
    <t>K-TOWN FURNITURE CO</t>
  </si>
  <si>
    <t>136 Oak Ave</t>
  </si>
  <si>
    <t>KURZ TRANSFER PRODUCTS LLC</t>
  </si>
  <si>
    <t>3200 Woodpark Blvd</t>
  </si>
  <si>
    <t>3430 Tringdon Way, Suite 201</t>
  </si>
  <si>
    <t>LA PETITE ACADEMY</t>
  </si>
  <si>
    <t>917 E WT Harris Blvd</t>
  </si>
  <si>
    <t>LABOR READY INC</t>
  </si>
  <si>
    <t>204 W Woodlawn Rd, Suite E</t>
  </si>
  <si>
    <t>LABORATORY CORP OF AMERICA</t>
  </si>
  <si>
    <t>3600A Woodpark Blvd</t>
  </si>
  <si>
    <t>LAKE ELECTRIC CO INC</t>
  </si>
  <si>
    <t>PO Box 642</t>
  </si>
  <si>
    <t>LAKE NORMAN REGIONAL MEDICAL CENTER</t>
  </si>
  <si>
    <t>PO Box 3250</t>
  </si>
  <si>
    <t>LANCASTER COUNTY</t>
  </si>
  <si>
    <t>PO Box 1809</t>
  </si>
  <si>
    <t>LANCASTER COUNTY SCHOOL DISTRICT</t>
  </si>
  <si>
    <t>300 S Catawba St</t>
  </si>
  <si>
    <t>LANCE INC</t>
  </si>
  <si>
    <t>PO Box 32368</t>
  </si>
  <si>
    <t>LAND-O-SUN DAIRIES LLC</t>
  </si>
  <si>
    <t>PO Box 1969</t>
  </si>
  <si>
    <t>LANEVENTURE</t>
  </si>
  <si>
    <t>PO Box 849</t>
  </si>
  <si>
    <t>LASH GROUP, THE</t>
  </si>
  <si>
    <t>3735 Glen Lake Dr, Suite 300</t>
  </si>
  <si>
    <t>LA-Z-BOY INC</t>
  </si>
  <si>
    <t>1164 Burris Blvd</t>
  </si>
  <si>
    <t>LB PLASTICS INC</t>
  </si>
  <si>
    <t>LEATHERCRAFT INC</t>
  </si>
  <si>
    <t>PO Box 639</t>
  </si>
  <si>
    <t>LEE A FOLGER INC</t>
  </si>
  <si>
    <t>5701 E Independence Blvd</t>
  </si>
  <si>
    <t>LEE INDUSTRIES INC</t>
  </si>
  <si>
    <t>402 W 25th St</t>
  </si>
  <si>
    <t>500 Lincoln County Parkway Ext</t>
  </si>
  <si>
    <t>355 Crestmont Dr</t>
  </si>
  <si>
    <t>LENDINGTREE INC</t>
  </si>
  <si>
    <t>11115 Rushmore Dr</t>
  </si>
  <si>
    <t>LENOIR-RHYNE COLLEGE</t>
  </si>
  <si>
    <t>625 Seventh Ave NE</t>
  </si>
  <si>
    <t>LESLEE LLOYD CHILD DEVELOPMENT CENTER</t>
  </si>
  <si>
    <t>6901 IBM Dr</t>
  </si>
  <si>
    <t>LEVINE JEWISH COMMUNITY CENTER</t>
  </si>
  <si>
    <t>5007 Providence Rd</t>
  </si>
  <si>
    <t>LEXINGTON RUBBER GROUP INC</t>
  </si>
  <si>
    <t>PO Box 4477</t>
  </si>
  <si>
    <t>29732</t>
  </si>
  <si>
    <t>LIBERTY HOME CARE</t>
  </si>
  <si>
    <t>921 E Caswell St</t>
  </si>
  <si>
    <t>LIBERTY HOMES INC</t>
  </si>
  <si>
    <t>101 Old Well House Rd</t>
  </si>
  <si>
    <t>LIBERTY MUTUAL INSURANCE CO INC</t>
  </si>
  <si>
    <t>2810 Coliseum Center Dr, Suite 350</t>
  </si>
  <si>
    <t>LIBURDI DIMETRICS CORP</t>
  </si>
  <si>
    <t>404 Armour St</t>
  </si>
  <si>
    <t>LIFESPAN INC</t>
  </si>
  <si>
    <t>200 Clanton Rd</t>
  </si>
  <si>
    <t>LINCOLN COUNTY</t>
  </si>
  <si>
    <t>115 W Main St</t>
  </si>
  <si>
    <t>LINCOLN COUNTY SCHOOLS</t>
  </si>
  <si>
    <t>LINCOLN FINANCIAL MEDIA</t>
  </si>
  <si>
    <t>One Julian Price Pl</t>
  </si>
  <si>
    <t>LINCOLN HARRIS LLC</t>
  </si>
  <si>
    <t>4201 Congress St, Suite 175</t>
  </si>
  <si>
    <t>LINDE GAS</t>
  </si>
  <si>
    <t>4236 Statesville Rd</t>
  </si>
  <si>
    <t>LINENS N'THINGS</t>
  </si>
  <si>
    <t>6 Brighton Rd</t>
  </si>
  <si>
    <t>Clifton</t>
  </si>
  <si>
    <t>07015</t>
  </si>
  <si>
    <t>LIONS SERVICES INC</t>
  </si>
  <si>
    <t>4600A N Tryon St</t>
  </si>
  <si>
    <t>LISK TRUCKING INC</t>
  </si>
  <si>
    <t>PO Box 70</t>
  </si>
  <si>
    <t>Polkton</t>
  </si>
  <si>
    <t>28135</t>
  </si>
  <si>
    <t>LITTLE DIVERSIFIED ARCHITECTURAL CONSULTING</t>
  </si>
  <si>
    <t>5815 Westpark Dr</t>
  </si>
  <si>
    <t>LIVINGSTONE COATING CORP</t>
  </si>
  <si>
    <t>PO Box 668267</t>
  </si>
  <si>
    <t>LIVINGSTONE COLLEGE</t>
  </si>
  <si>
    <t>701 W Monroe St</t>
  </si>
  <si>
    <t>LONGHORN STEAKS</t>
  </si>
  <si>
    <t>8215 Roswell Rd, Bldg 600</t>
  </si>
  <si>
    <t>30350</t>
  </si>
  <si>
    <t>LOOMIS FARGO &amp; CO</t>
  </si>
  <si>
    <t>2050 Suttle Ave</t>
  </si>
  <si>
    <t>LOWE'S COMPANIES INC</t>
  </si>
  <si>
    <t>1000 Lowe's Blvd</t>
  </si>
  <si>
    <t>LOWE'S MOTOR SPEEDWAY</t>
  </si>
  <si>
    <t>PO Box 600</t>
  </si>
  <si>
    <t>LUCENT TECHNOLOGIES</t>
  </si>
  <si>
    <t>10000 Twin Lakes Parkway</t>
  </si>
  <si>
    <t>LUCKY COUNTRY MANUFACTURING</t>
  </si>
  <si>
    <t>3333 Finger Mill Rd</t>
  </si>
  <si>
    <t>LUTHERAN HOME - ALBEMARLE</t>
  </si>
  <si>
    <t>MACK MOLDING CO</t>
  </si>
  <si>
    <t>149 Water Tank Rd</t>
  </si>
  <si>
    <t>MACK TRUCK SALES OF CHARLOTTE INC</t>
  </si>
  <si>
    <t>3609 Trailer Dr</t>
  </si>
  <si>
    <t>MACLEOD CONSTRUCTION INC</t>
  </si>
  <si>
    <t>PO Box 320</t>
  </si>
  <si>
    <t>MACTEC ENGINEERING &amp; CONSULTING INC</t>
  </si>
  <si>
    <t>2801 Yorkmont Rd, Suite 100</t>
  </si>
  <si>
    <t>MACY'S</t>
  </si>
  <si>
    <t>4400 Sharon Rd</t>
  </si>
  <si>
    <t>MAERSK COMPANIES</t>
  </si>
  <si>
    <t>6000 Carnegie Blvd</t>
  </si>
  <si>
    <t>MAGNOLIA GARDENS EXTENDED CARE COMMUNITY</t>
  </si>
  <si>
    <t>PO Box 5</t>
  </si>
  <si>
    <t>Spencer</t>
  </si>
  <si>
    <t>28159</t>
  </si>
  <si>
    <t>MANN TRAVEL &amp; CRUISES</t>
  </si>
  <si>
    <t>4400 Park Rd</t>
  </si>
  <si>
    <t>MARBURGER DODGE DEALERSHIP</t>
  </si>
  <si>
    <t>287 Concord Pkwy N</t>
  </si>
  <si>
    <t>MAR-MAC PROTECTIVE APPAREL</t>
  </si>
  <si>
    <t>PO Box 278</t>
  </si>
  <si>
    <t>MARRIOTT INTERNATIONAL</t>
  </si>
  <si>
    <t>One Marriott Dr</t>
  </si>
  <si>
    <t>20058</t>
  </si>
  <si>
    <t>MARSH USA INC</t>
  </si>
  <si>
    <t>100 N Tryon St, Suite 3200</t>
  </si>
  <si>
    <t>MARSHALL AIR SYSTEMS INC</t>
  </si>
  <si>
    <t>419 Peachtree Dr, Suite S</t>
  </si>
  <si>
    <t>MASONITE DOOR CORP</t>
  </si>
  <si>
    <t>7300 Reames Rd</t>
  </si>
  <si>
    <t>MASONRY REINFORCING</t>
  </si>
  <si>
    <t>PO Box 240988</t>
  </si>
  <si>
    <t>MASTEC NORTH AMERICA INC</t>
  </si>
  <si>
    <t>225 Manley St</t>
  </si>
  <si>
    <t>MASTERPIECE HOUSING</t>
  </si>
  <si>
    <t>2000 Sterling Dr</t>
  </si>
  <si>
    <t>MATHERS &amp; ASSOCIATES REALTY</t>
  </si>
  <si>
    <t>6701 Carmel Rd, Suite 100</t>
  </si>
  <si>
    <t>MATTHEWS CONSTRUCTION CO INC</t>
  </si>
  <si>
    <t>210 First Ave S</t>
  </si>
  <si>
    <t>MAXON FURNITURE INC</t>
  </si>
  <si>
    <t>520 Grace Church Rd</t>
  </si>
  <si>
    <t>MAYFLOWER VEHICLE SYSTEMS INC</t>
  </si>
  <si>
    <t>629 S Battleground Ave</t>
  </si>
  <si>
    <t>MBM</t>
  </si>
  <si>
    <t>380 Circle M Dr</t>
  </si>
  <si>
    <t>MCCARTER ELECTRICAL CO</t>
  </si>
  <si>
    <t>1710 Morgan Mill Rd</t>
  </si>
  <si>
    <t>MCCLANCY SEASONINGS CO</t>
  </si>
  <si>
    <t>1 Spice Rd</t>
  </si>
  <si>
    <t>MCCORMICK &amp; SCHMICK'S</t>
  </si>
  <si>
    <t>200 S Tryon St, Suite 130</t>
  </si>
  <si>
    <t>MCCREARY MODERN INC</t>
  </si>
  <si>
    <t>PO Box 130</t>
  </si>
  <si>
    <t>MCDONALD'S CORP</t>
  </si>
  <si>
    <t>3200 Beachleaf Dr, Suite 300</t>
  </si>
  <si>
    <t>Raleigh</t>
  </si>
  <si>
    <t>27604</t>
  </si>
  <si>
    <t>MCGEE BROTHERS CO INC</t>
  </si>
  <si>
    <t>4608 Carriker Rd</t>
  </si>
  <si>
    <t>MCGUIRE WOODS LLP</t>
  </si>
  <si>
    <t>100 N Tryon St, Suite 2900</t>
  </si>
  <si>
    <t>MCKENZIE TAXIDERMY SUPPLY INC</t>
  </si>
  <si>
    <t>PO Box 480</t>
  </si>
  <si>
    <t>Granite Quarry</t>
  </si>
  <si>
    <t>28072</t>
  </si>
  <si>
    <t>MCKESSON</t>
  </si>
  <si>
    <t>10735 David Taylor Dr</t>
  </si>
  <si>
    <t>MCKESSON MEDICAL-SURGICAL INC</t>
  </si>
  <si>
    <t>2121 Distribution Ctr Dr, Suite E</t>
  </si>
  <si>
    <t>MCKESSON PACKAGING SERVICE</t>
  </si>
  <si>
    <t>7101 Weddington Rd Ext</t>
  </si>
  <si>
    <t>MCLANE FOODSERVICE</t>
  </si>
  <si>
    <t>PO Box 5148</t>
  </si>
  <si>
    <t>MCLEOD ADDICTIVE DISEASE CENTER</t>
  </si>
  <si>
    <t>145 Remount Rd</t>
  </si>
  <si>
    <t>MCLEOD FARMS</t>
  </si>
  <si>
    <t>PO Box 449</t>
  </si>
  <si>
    <t>MCMURRAY FABRICS INC</t>
  </si>
  <si>
    <t>1140 N Flint St</t>
  </si>
  <si>
    <t>MCWHIRTER GRADING CO</t>
  </si>
  <si>
    <t>PO Box 23510</t>
  </si>
  <si>
    <t>MECHANICAL CONTRACTORS INC</t>
  </si>
  <si>
    <t>PO Box 562357</t>
  </si>
  <si>
    <t>MECHANICAL SYSTEMS &amp; SERVICES INC</t>
  </si>
  <si>
    <t>1001 Tuckaseegee Rd</t>
  </si>
  <si>
    <t>MECKLENBURG COUNTY</t>
  </si>
  <si>
    <t>600 E Fourth St, 11th Floor</t>
  </si>
  <si>
    <t>MECKLENBURG COUNTY ALCOHOL BEVERAGE CONTROL BOARD</t>
  </si>
  <si>
    <t>3333 N Tryon St</t>
  </si>
  <si>
    <t>MECKLENBURG EMS AGENCY</t>
  </si>
  <si>
    <t>4525 Statesville Rd</t>
  </si>
  <si>
    <t>MECKLENBURG HEALTH CARE CENTER</t>
  </si>
  <si>
    <t>2415 Sandy Porter Rd</t>
  </si>
  <si>
    <t>MECKLENBURG INDUSTRIAL MAINTENANCE</t>
  </si>
  <si>
    <t>PO Box 410665</t>
  </si>
  <si>
    <t>MEDCATH INC</t>
  </si>
  <si>
    <t>10720 Sike Pl, Suite 300</t>
  </si>
  <si>
    <t>MEDCLAIM INC</t>
  </si>
  <si>
    <t>5835 Executive Center Dr, Suite 200</t>
  </si>
  <si>
    <t>MEDCO HEALTH SOLUTIONS INC</t>
  </si>
  <si>
    <t>100 Parsons Pond Dr</t>
  </si>
  <si>
    <t>Franklin Lakes</t>
  </si>
  <si>
    <t>07417</t>
  </si>
  <si>
    <t>MEDIA-EVOLVED LLC</t>
  </si>
  <si>
    <t>3205 Freedom Dr, Suite 51</t>
  </si>
  <si>
    <t>MEDICAL SPECIALTIES MANUFACTURING</t>
  </si>
  <si>
    <t>PO Box 977</t>
  </si>
  <si>
    <t>MEGA FORCE STAFFING</t>
  </si>
  <si>
    <t>725 Cherry Rd, Suite 2686</t>
  </si>
  <si>
    <t>MEINEKE CAR CARE CENTERS INC</t>
  </si>
  <si>
    <t>128 S Tryon St, Suite 900</t>
  </si>
  <si>
    <t>MERCHANTS METALS</t>
  </si>
  <si>
    <t>PO Box 949</t>
  </si>
  <si>
    <t>MERGENT INC</t>
  </si>
  <si>
    <t>5250 77 Center Dr, Suite 150</t>
  </si>
  <si>
    <t>MERIDIAN AUTOMOTIVE SYSTEMS</t>
  </si>
  <si>
    <t>6701 Statesville Blvd</t>
  </si>
  <si>
    <t>MERIDIAN SPECIALTY YARNS</t>
  </si>
  <si>
    <t>40 Rex Ave</t>
  </si>
  <si>
    <t>MERRILL LYNCH</t>
  </si>
  <si>
    <t>100 N Tryon St, Suite 3600</t>
  </si>
  <si>
    <t>MET LIFE AUTO &amp; HOME</t>
  </si>
  <si>
    <t>PO Box 410300</t>
  </si>
  <si>
    <t>METALS AMERICA INC</t>
  </si>
  <si>
    <t>135 Old Boiling Springs Rd</t>
  </si>
  <si>
    <t>4948F Airport Center Pkwy</t>
  </si>
  <si>
    <t>METROLINA GREENHOUSES INC</t>
  </si>
  <si>
    <t>16400 Huntersville-Concord Rd</t>
  </si>
  <si>
    <t>METROLINA KIDNEY CENTER OF CHARLOTTE</t>
  </si>
  <si>
    <t>928 Baxter St</t>
  </si>
  <si>
    <t>METROLINA LANDSCAPE CO</t>
  </si>
  <si>
    <t>309 Morningside Rd</t>
  </si>
  <si>
    <t>METROLINA STEEL INC</t>
  </si>
  <si>
    <t>PO Box 790465</t>
  </si>
  <si>
    <t>METROMONT MATERIALS LLC/CEMEX</t>
  </si>
  <si>
    <t>PO Box 26036</t>
  </si>
  <si>
    <t>METROMONT PRESTRESS</t>
  </si>
  <si>
    <t>4101 Greensboro St</t>
  </si>
  <si>
    <t>MI WINDOWS &amp; DOORS INC</t>
  </si>
  <si>
    <t>1735 Heilig Rd</t>
  </si>
  <si>
    <t>MICHAEL WEINIG INC</t>
  </si>
  <si>
    <t>PO Box 3158</t>
  </si>
  <si>
    <t>MICHELIN AIRCRAFT TIRE CORP</t>
  </si>
  <si>
    <t>40589 S Stanly School Rd</t>
  </si>
  <si>
    <t>Norwood</t>
  </si>
  <si>
    <t>28128</t>
  </si>
  <si>
    <t>MICROSOFT CORP</t>
  </si>
  <si>
    <t>8055 Microsoft Way</t>
  </si>
  <si>
    <t>MID-CAROLINA CARDIOLOGY</t>
  </si>
  <si>
    <t>1718 E Fourth St, Suite 501</t>
  </si>
  <si>
    <t>MIDREX TECHNOLOGIES</t>
  </si>
  <si>
    <t>2725 Water Ridge Parkway, Suite 100</t>
  </si>
  <si>
    <t>MIDSTATE MILLS INC</t>
  </si>
  <si>
    <t>PO Box 350</t>
  </si>
  <si>
    <t>MIDTOWN SUNDRIES</t>
  </si>
  <si>
    <t>5900 Harris Technology Blvd</t>
  </si>
  <si>
    <t>MITCHELL COMMUNITY COLLEGE</t>
  </si>
  <si>
    <t>500 W Broad St</t>
  </si>
  <si>
    <t>MITCHELL GOLD + BOB WILLIAMS</t>
  </si>
  <si>
    <t>135 One Comfortable Pl</t>
  </si>
  <si>
    <t>MOCARO DYEING AND FINISHING</t>
  </si>
  <si>
    <t>PO Box 6689</t>
  </si>
  <si>
    <t>MODERN SALON INC</t>
  </si>
  <si>
    <t>201 W Morehead St, Suite 400</t>
  </si>
  <si>
    <t>MOHICAN MILLS INC</t>
  </si>
  <si>
    <t>MONARCH COLOR CORP</t>
  </si>
  <si>
    <t>5327 Brookshire Blvd</t>
  </si>
  <si>
    <t>MONROE AQUATICS &amp; FITNESS CENTER</t>
  </si>
  <si>
    <t>2325 Hanover Dr</t>
  </si>
  <si>
    <t>MONROE HARDWARE CO INC</t>
  </si>
  <si>
    <t>PO Box 5015</t>
  </si>
  <si>
    <t>MONTGOMERY INSURANCE</t>
  </si>
  <si>
    <t>4600 Park Rd, Suite 500</t>
  </si>
  <si>
    <t>MOORE &amp; VAN ALLEN PLLC</t>
  </si>
  <si>
    <t>100 N Tryon St, Suite 4700</t>
  </si>
  <si>
    <t>MOORESVILLE GRADED SCHOOL DISTRICT</t>
  </si>
  <si>
    <t>305 N Main St</t>
  </si>
  <si>
    <t>MORETZ INC</t>
  </si>
  <si>
    <t>PO Box 480130</t>
  </si>
  <si>
    <t>MORRIS JENKINS</t>
  </si>
  <si>
    <t>PO Box 19429</t>
  </si>
  <si>
    <t>MORRISON TEXTILE MACHINERY CO</t>
  </si>
  <si>
    <t>6044 Lancaster Hwy</t>
  </si>
  <si>
    <t>Fort Lawn</t>
  </si>
  <si>
    <t>29714</t>
  </si>
  <si>
    <t>MORTON CUSTOM PLASTICS LLC</t>
  </si>
  <si>
    <t>7301 Caldwell Rd</t>
  </si>
  <si>
    <t>MOSS SUPPLY CO</t>
  </si>
  <si>
    <t>PO Box 26338</t>
  </si>
  <si>
    <t>MOTORSPORTS AUTHENTICS LLC</t>
  </si>
  <si>
    <t>6301 Performance Dr</t>
  </si>
  <si>
    <t>MOVIE GALLERY INC</t>
  </si>
  <si>
    <t>900 W Main St</t>
  </si>
  <si>
    <t>Dothan</t>
  </si>
  <si>
    <t>AL</t>
  </si>
  <si>
    <t>36301</t>
  </si>
  <si>
    <t>MULTI-WALL PACKAGING CORP</t>
  </si>
  <si>
    <t>PO Box 33</t>
  </si>
  <si>
    <t>MURATA MACHINERY USA INC</t>
  </si>
  <si>
    <t>2120 Queen City Dr</t>
  </si>
  <si>
    <t>MUZAK</t>
  </si>
  <si>
    <t>3318 Lakemont Blvd</t>
  </si>
  <si>
    <t>MYERS PARK COUNTRY CLUB INC</t>
  </si>
  <si>
    <t>2415 Roswell Ave</t>
  </si>
  <si>
    <t>NASCAR IMAGES LLC</t>
  </si>
  <si>
    <t>4205B Stuart Andrew Blvd</t>
  </si>
  <si>
    <t>NASCAR TECHNICAL INSTITUTE</t>
  </si>
  <si>
    <t>220 Byers Creek Rd</t>
  </si>
  <si>
    <t>NATIONAL GYPSUM CO</t>
  </si>
  <si>
    <t>2001 Rexford Rd</t>
  </si>
  <si>
    <t>PO Box 34666</t>
  </si>
  <si>
    <t>NATIONAL STARCH &amp; CHEMICAL CO</t>
  </si>
  <si>
    <t>485 Cedar Springs Rd</t>
  </si>
  <si>
    <t>NATIONAL TEXTILES LLC</t>
  </si>
  <si>
    <t>1925 W Poplar St</t>
  </si>
  <si>
    <t>NATIONAL VENDOR SERVICES INC</t>
  </si>
  <si>
    <t>256 Raceway Dr, Suite 6</t>
  </si>
  <si>
    <t>NATIONAL WELDERS SUPPLY CO INC</t>
  </si>
  <si>
    <t>PO Box 31007</t>
  </si>
  <si>
    <t>NATIONWIDE MUTUAL INSURANCE</t>
  </si>
  <si>
    <t>5970 Fairview Rd, Suite 300</t>
  </si>
  <si>
    <t>2101 Rexford Rd</t>
  </si>
  <si>
    <t>NEVINS INC</t>
  </si>
  <si>
    <t>3523 Nevin Rd</t>
  </si>
  <si>
    <t>NEW ERA BUILDING SYSTEMS INC</t>
  </si>
  <si>
    <t>PO Box 3339</t>
  </si>
  <si>
    <t>NEW HOPE CAROLINAS INC</t>
  </si>
  <si>
    <t>101 Sedgewood Dr</t>
  </si>
  <si>
    <t>NEWTON-CONOVER CITY SCHOOLS</t>
  </si>
  <si>
    <t>605 N Ashe Ave</t>
  </si>
  <si>
    <t>NGK CERAMICS USA INC</t>
  </si>
  <si>
    <t>NIBLOCK DEVELOPMENT</t>
  </si>
  <si>
    <t>300 McGill Ave</t>
  </si>
  <si>
    <t>NORANDAL USA INC</t>
  </si>
  <si>
    <t>PO Box 1388</t>
  </si>
  <si>
    <t>NORDSTROM INC</t>
  </si>
  <si>
    <t>312 W Liddell St</t>
  </si>
  <si>
    <t>NORTH AMERICAN LAWN &amp; LANDSCAPE INC</t>
  </si>
  <si>
    <t>4200 Performance Rd</t>
  </si>
  <si>
    <t>NORTH CAROLINA STATE EMPLOYEES CREDIT UNION</t>
  </si>
  <si>
    <t>1130 E Third St</t>
  </si>
  <si>
    <t>NORTH CAROLINA STATE GOVERNMENT</t>
  </si>
  <si>
    <t>1331 Mail Service Center</t>
  </si>
  <si>
    <t>27699</t>
  </si>
  <si>
    <t>NORTHERN TOOL &amp; EQUIPMENT CO INC</t>
  </si>
  <si>
    <t>1850 Banks Rd</t>
  </si>
  <si>
    <t>NORTHROP GRUMMAN SYNOPTICS</t>
  </si>
  <si>
    <t>1201 Continental Blvd</t>
  </si>
  <si>
    <t>NORTHSIDE BAPTIST CHURCH</t>
  </si>
  <si>
    <t>333 Jeremiah Blvd</t>
  </si>
  <si>
    <t>NORTHWESTERN MUTUAL FINANCIAL NETWORK</t>
  </si>
  <si>
    <t>6235 Morrison Blvd</t>
  </si>
  <si>
    <t>NORTON DOOR CONTROLS</t>
  </si>
  <si>
    <t>PO Box 869</t>
  </si>
  <si>
    <t>NOVEON INC</t>
  </si>
  <si>
    <t>207 Telegraph Dr</t>
  </si>
  <si>
    <t>NVR BUILDING PRODUCTS COMPANY</t>
  </si>
  <si>
    <t>132 Riverside Ct</t>
  </si>
  <si>
    <t>O'CHARLEY'S INC</t>
  </si>
  <si>
    <t>3038 Sidco Dr</t>
  </si>
  <si>
    <t>Nashville</t>
  </si>
  <si>
    <t>37204</t>
  </si>
  <si>
    <t>ODELL ASSOCIATES INC</t>
  </si>
  <si>
    <t>800 West Hill St</t>
  </si>
  <si>
    <t>OFFICE DEPOT</t>
  </si>
  <si>
    <t>2200 Old Germantown Rd</t>
  </si>
  <si>
    <t>Delray Beach</t>
  </si>
  <si>
    <t>33445</t>
  </si>
  <si>
    <t>OILES AMERICA CORP</t>
  </si>
  <si>
    <t>4510 Enterprise Dr NW</t>
  </si>
  <si>
    <t>OKUMA AMERICA INC</t>
  </si>
  <si>
    <t>PO Box 7866</t>
  </si>
  <si>
    <t>OLD CASTLE NEW FRONTIERS INC</t>
  </si>
  <si>
    <t>1566 Highpoint Church Rd</t>
  </si>
  <si>
    <t>OLD DOMINION FREIGHT LINE</t>
  </si>
  <si>
    <t>5600 Wilkinson Blvd</t>
  </si>
  <si>
    <t>OLD NORTH STATE MASONRY</t>
  </si>
  <si>
    <t>PO Box 1260</t>
  </si>
  <si>
    <t>132 E Trade St</t>
  </si>
  <si>
    <t>OMNOVA SOLUTIONS</t>
  </si>
  <si>
    <t>2011 N Rocky River Rd</t>
  </si>
  <si>
    <t>OMNOVA SOLUTIONS INC</t>
  </si>
  <si>
    <t>1476 JA Cochrane Bypass</t>
  </si>
  <si>
    <t>OPTICAL EXPERTS MANUFACTURING</t>
  </si>
  <si>
    <t>8500 S Tryon St</t>
  </si>
  <si>
    <t>ORACLE CORP</t>
  </si>
  <si>
    <t>3 Coliseum Center, 2550 Tyvola Rd, Suite 200</t>
  </si>
  <si>
    <t>ORLEANS HOMEBUILDERS</t>
  </si>
  <si>
    <t>1930 Center Park Dr</t>
  </si>
  <si>
    <t>ORTHOCAROLINA</t>
  </si>
  <si>
    <t>1915 Randolph Rd</t>
  </si>
  <si>
    <t>ORTRONICS</t>
  </si>
  <si>
    <t>903 Gastonia Technology Pkwy</t>
  </si>
  <si>
    <t>OSBORNE BROTHERS ELECTRIC</t>
  </si>
  <si>
    <t>PO Box 2103</t>
  </si>
  <si>
    <t>OTTO ENVIRONMENTAL SYSTEMS - NORTH AMERICA</t>
  </si>
  <si>
    <t>12700 General Dr</t>
  </si>
  <si>
    <t>OUTBACK STEAKHOUSE INC</t>
  </si>
  <si>
    <t>2125 Southend Dr, Suite 352</t>
  </si>
  <si>
    <t>OVERCASH ELECTRIC INC</t>
  </si>
  <si>
    <t>PO Box 539</t>
  </si>
  <si>
    <t>OVERCASH GRAVEL &amp; GRADING</t>
  </si>
  <si>
    <t>OVERHEAD DOOR COMPANY OF CHARLOTTE</t>
  </si>
  <si>
    <t>6600 W WT Harris Blvd</t>
  </si>
  <si>
    <t>OWENS CORNING</t>
  </si>
  <si>
    <t>590 Ecology Ln</t>
  </si>
  <si>
    <t>OYAMA WOODWORKING</t>
  </si>
  <si>
    <t>PO Box 2427</t>
  </si>
  <si>
    <t>P KAUFMANN INC</t>
  </si>
  <si>
    <t>440 York Southern Rd</t>
  </si>
  <si>
    <t>PACKAGING CORP OF AMERICA</t>
  </si>
  <si>
    <t>1302 N Salisbury Ave</t>
  </si>
  <si>
    <t>PACKAGING UNLIMITED</t>
  </si>
  <si>
    <t>PO Box 813</t>
  </si>
  <si>
    <t>PALLIATIVE CARECENTER AND HOSPICE OF CATAWBA VALLEY</t>
  </si>
  <si>
    <t>3975 Robinson Rd</t>
  </si>
  <si>
    <t>PAPA JOHN'S INTERNATIONAL INC</t>
  </si>
  <si>
    <t>2002 Papa Johns Blvd</t>
  </si>
  <si>
    <t>Louisville</t>
  </si>
  <si>
    <t>KY</t>
  </si>
  <si>
    <t>40299</t>
  </si>
  <si>
    <t>PARAMOUNT'S CAROWINDS</t>
  </si>
  <si>
    <t>PO Box 410289</t>
  </si>
  <si>
    <t>PARKDALE MILLS INC</t>
  </si>
  <si>
    <t>PO Box 1787</t>
  </si>
  <si>
    <t>PARKER HANNIFIN CORP</t>
  </si>
  <si>
    <t>PARKER POE ADAMS &amp; BERNSTEIN LLP</t>
  </si>
  <si>
    <t>401 S Tryon St, Suite 3000</t>
  </si>
  <si>
    <t>PARKER SSD DRIVES</t>
  </si>
  <si>
    <t>9225 Forsythe Park Dr</t>
  </si>
  <si>
    <t>PARKS CHEVROLET INC</t>
  </si>
  <si>
    <t>PO Box 560826</t>
  </si>
  <si>
    <t>PARSONS</t>
  </si>
  <si>
    <t>4701 Hedgemore Dr</t>
  </si>
  <si>
    <t>PARTS AMERICA</t>
  </si>
  <si>
    <t>PO Box 2316</t>
  </si>
  <si>
    <t>PASS &amp; SEYMOUR/LEGRAND</t>
  </si>
  <si>
    <t>4515 Enterprise Dr NW</t>
  </si>
  <si>
    <t>PATHWAYS LME</t>
  </si>
  <si>
    <t>901 S New Hope Rd</t>
  </si>
  <si>
    <t>PATRICK YARN MILLS INC</t>
  </si>
  <si>
    <t>PO Box 1847</t>
  </si>
  <si>
    <t>PATTONS INC</t>
  </si>
  <si>
    <t>3201 South Blvd</t>
  </si>
  <si>
    <t>PAUL ROBERT CHAIR INC</t>
  </si>
  <si>
    <t>266 Martin Luther King Dr</t>
  </si>
  <si>
    <t>PBH</t>
  </si>
  <si>
    <t>245 LePhillip Ct NE</t>
  </si>
  <si>
    <t>PC GODFREY INC</t>
  </si>
  <si>
    <t>PO Box 668567</t>
  </si>
  <si>
    <t>PEAK FITNESS</t>
  </si>
  <si>
    <t>PO Box 2220</t>
  </si>
  <si>
    <t>PELTON &amp; CRANE INC</t>
  </si>
  <si>
    <t>PO Box 7800</t>
  </si>
  <si>
    <t>PEMBROOK CHAIR CORP</t>
  </si>
  <si>
    <t>PO Box 520</t>
  </si>
  <si>
    <t>PENSKE RACING SOUTH</t>
  </si>
  <si>
    <t>PEOPLES BANK</t>
  </si>
  <si>
    <t>518 W C St</t>
  </si>
  <si>
    <t>PEP BOYS INC, THE</t>
  </si>
  <si>
    <t>6851 Albemarle Rd</t>
  </si>
  <si>
    <t>PEPSI-COLA BOTTLING</t>
  </si>
  <si>
    <t>2401 14th Ave Cir NW</t>
  </si>
  <si>
    <t>862 Harris St</t>
  </si>
  <si>
    <t>PERFECT FIT INDUSTRIES INC</t>
  </si>
  <si>
    <t>8501 Tower Point Dr</t>
  </si>
  <si>
    <t>PERFORMANCE FOOD GROUP CUSTOMIZED DISTRIBUTION</t>
  </si>
  <si>
    <t>1441 Fire Tower Rd</t>
  </si>
  <si>
    <t>PERFORMANCE FRICTION CORP</t>
  </si>
  <si>
    <t>PO Box 819</t>
  </si>
  <si>
    <t>PERIGON PA</t>
  </si>
  <si>
    <t>931 Industrial Dr</t>
  </si>
  <si>
    <t>PO Box 240606</t>
  </si>
  <si>
    <t>PETSMART INC</t>
  </si>
  <si>
    <t>19601 N 27th Ave</t>
  </si>
  <si>
    <t>85027</t>
  </si>
  <si>
    <t>6809F Phillips Place Ct</t>
  </si>
  <si>
    <t>PFEIFFER UNIVERSITY</t>
  </si>
  <si>
    <t>PO Box 960</t>
  </si>
  <si>
    <t>Misenheimer</t>
  </si>
  <si>
    <t>28109</t>
  </si>
  <si>
    <t>PGT INDUSTRIES</t>
  </si>
  <si>
    <t>2121 Heilig Rd</t>
  </si>
  <si>
    <t>PHARR YARNS INC</t>
  </si>
  <si>
    <t>PO Box 1939</t>
  </si>
  <si>
    <t>McAdenville</t>
  </si>
  <si>
    <t>28101</t>
  </si>
  <si>
    <t>PHILIP MORRIS USA</t>
  </si>
  <si>
    <t>PO Box 1098</t>
  </si>
  <si>
    <t>PHILIPS PRODUCTS</t>
  </si>
  <si>
    <t>PO Box 340</t>
  </si>
  <si>
    <t>PHOENIX TACO LLC</t>
  </si>
  <si>
    <t>9731E Southern Pine Blvd</t>
  </si>
  <si>
    <t>PIEDMONT HEALTHCARE PA</t>
  </si>
  <si>
    <t>PO Box 1845</t>
  </si>
  <si>
    <t>PIEDMONT MEDICAL CENTER</t>
  </si>
  <si>
    <t>222 S Herlong Ave</t>
  </si>
  <si>
    <t>PIEDMONT NATURAL GAS</t>
  </si>
  <si>
    <t>4720 Piedmont Row Dr</t>
  </si>
  <si>
    <t>PIERRE FOODS INC</t>
  </si>
  <si>
    <t>PO Box 668</t>
  </si>
  <si>
    <t>PINES AT DAVIDSON INC, THE</t>
  </si>
  <si>
    <t>400 Avinger Ln</t>
  </si>
  <si>
    <t>PINEVILLE REHAB AND LIVING CENTER</t>
  </si>
  <si>
    <t>1010 Lakeview Dr</t>
  </si>
  <si>
    <t>PIZZA HUT INC</t>
  </si>
  <si>
    <t>1805 Sardis Dr N</t>
  </si>
  <si>
    <t>PLANTATION ESTATES</t>
  </si>
  <si>
    <t>733 Plantation Estate Dr</t>
  </si>
  <si>
    <t>PLASTIC PACKAGING INC</t>
  </si>
  <si>
    <t>POLYMASK CORP</t>
  </si>
  <si>
    <t>PO Box 309</t>
  </si>
  <si>
    <t>POLYMER GROUP INC</t>
  </si>
  <si>
    <t>9335 Harris Corners Pkwy, Suite 300</t>
  </si>
  <si>
    <t>POLYPORE INC</t>
  </si>
  <si>
    <t>11430 N Community House Rd, Suite 350</t>
  </si>
  <si>
    <t>PORT CITY ELECTRIC CO</t>
  </si>
  <si>
    <t>PO Box 1218</t>
  </si>
  <si>
    <t>PORTER'S FABRICATIONS</t>
  </si>
  <si>
    <t>1111 Oates Rd</t>
  </si>
  <si>
    <t>PORTRAIT CORPORATION OF AMERICA INC</t>
  </si>
  <si>
    <t>815 Matthews-Mint Hill Rd</t>
  </si>
  <si>
    <t>PORTRAIT HOMES CONSTRUCTION CO</t>
  </si>
  <si>
    <t>9111 Monroe Rd, Suite 100</t>
  </si>
  <si>
    <t>POSEIDON ENTERPRISES INC</t>
  </si>
  <si>
    <t>3516 Green Park Cir</t>
  </si>
  <si>
    <t>POSSEHL CONNECTOR SERVICES</t>
  </si>
  <si>
    <t>445 Bryant Blvd</t>
  </si>
  <si>
    <t>POYNER &amp; SPRUILL LLP</t>
  </si>
  <si>
    <t>301 S College St, Suite 2300</t>
  </si>
  <si>
    <t>PPG INDUSTRIES INC</t>
  </si>
  <si>
    <t>1497 Lancaster Hwy</t>
  </si>
  <si>
    <t>940 Washburn Switch Rd</t>
  </si>
  <si>
    <t>PRATT INDUSTRIES INC</t>
  </si>
  <si>
    <t>1903 Weinig St</t>
  </si>
  <si>
    <t>PRECEDENT FURNITURE</t>
  </si>
  <si>
    <t>PO Box 730</t>
  </si>
  <si>
    <t>PREFERRED ELECTRIC CO INC</t>
  </si>
  <si>
    <t>4113 Yancey Rd</t>
  </si>
  <si>
    <t>PREFORMED LINE PRODUCTS</t>
  </si>
  <si>
    <t>PO Box 818</t>
  </si>
  <si>
    <t>PREMIER ALLIANCE GROUP</t>
  </si>
  <si>
    <t>4521 Sharon Rd, Suite 300</t>
  </si>
  <si>
    <t>PREMIER INC</t>
  </si>
  <si>
    <t>2320 Cascade Pointe Blvd</t>
  </si>
  <si>
    <t>PREMIERE FIBERS INC</t>
  </si>
  <si>
    <t>PO Box 436</t>
  </si>
  <si>
    <t>Ansonville</t>
  </si>
  <si>
    <t>28007</t>
  </si>
  <si>
    <t>PRESBYTERIAN REGIONAL HEALTHCARE CORP</t>
  </si>
  <si>
    <t>PO Box 33549</t>
  </si>
  <si>
    <t>PRESTIGE FARMS INC</t>
  </si>
  <si>
    <t>7120 Orr Rd</t>
  </si>
  <si>
    <t>PRICE BROTHERS INC</t>
  </si>
  <si>
    <t>PO Box 7585</t>
  </si>
  <si>
    <t>PRICEWATERHOUSECOOPERS LLP</t>
  </si>
  <si>
    <t>214 N Tryon St, Suite 3600</t>
  </si>
  <si>
    <t>PRIMARY PHYSICIANCARE INC</t>
  </si>
  <si>
    <t>1515 Mockingbird Ln, 3rd Floor</t>
  </si>
  <si>
    <t>PROCTER &amp; GAMBLE DISTRIBUTION CO INC</t>
  </si>
  <si>
    <t>13925 Ballantyne Corp Pl</t>
  </si>
  <si>
    <t>4351 Main St, Suite 207</t>
  </si>
  <si>
    <t>PO Box 176</t>
  </si>
  <si>
    <t>PROFESSIONAL REMERCHANDISING</t>
  </si>
  <si>
    <t>125 Infield Ct</t>
  </si>
  <si>
    <t>PROFILE PRODUCTS LLC</t>
  </si>
  <si>
    <t>219 Simpson St</t>
  </si>
  <si>
    <t>PROGRESSIVE FURNITURE</t>
  </si>
  <si>
    <t>PO Box 729</t>
  </si>
  <si>
    <t>PROLOGIX DISTRIBUTION SERVICES</t>
  </si>
  <si>
    <t>1962 W Hwy 160</t>
  </si>
  <si>
    <t>PROVIDENCE COUNTRY CLUB</t>
  </si>
  <si>
    <t>6001 Providence Country Club Dr</t>
  </si>
  <si>
    <t>PROVIDENCE DAY SCHOOL INC</t>
  </si>
  <si>
    <t>5800 Sardis Rd</t>
  </si>
  <si>
    <t>PRUDENTIAL CAROLINAS REALTY</t>
  </si>
  <si>
    <t>4529 Sharon Rd, Suite 200</t>
  </si>
  <si>
    <t>PSNC ENERGY</t>
  </si>
  <si>
    <t>PO Box 1398</t>
  </si>
  <si>
    <t>PUBLIC LIBRARY OF CHARLOTTE &amp; MECKLENBURG COUNTY</t>
  </si>
  <si>
    <t>310 N Tryon St</t>
  </si>
  <si>
    <t>PULTE HOME CORP</t>
  </si>
  <si>
    <t>11121 Carmel Commons Blvd, Suite 450</t>
  </si>
  <si>
    <t>PUROLATOR EFP</t>
  </si>
  <si>
    <t>PO Box 1451</t>
  </si>
  <si>
    <t>QUAKER FURNITURE INC</t>
  </si>
  <si>
    <t>PO Box 1973</t>
  </si>
  <si>
    <t>QUALITY HEALTH CARE SERVICES</t>
  </si>
  <si>
    <t>11535 Carmel Commons Pkwy, Suite 105</t>
  </si>
  <si>
    <t>QUALITY SPRINKLER</t>
  </si>
  <si>
    <t>10301 Old Concord Rd</t>
  </si>
  <si>
    <t>QUEEN CITY AUDIO VIDEO &amp; APPLIANCES</t>
  </si>
  <si>
    <t>2600 Queen City Dr</t>
  </si>
  <si>
    <t>QUEENS UNIVERSITY OF CHARLOTTE</t>
  </si>
  <si>
    <t>1900 Selwyn Ave</t>
  </si>
  <si>
    <t>28274</t>
  </si>
  <si>
    <t>QUIZNOS</t>
  </si>
  <si>
    <t>1475 Lawrence St, Suite 400</t>
  </si>
  <si>
    <t>80202</t>
  </si>
  <si>
    <t>RACK ROOM SHOES</t>
  </si>
  <si>
    <t>8310 Technology Dr</t>
  </si>
  <si>
    <t>RADIATOR SPECIALTY CO</t>
  </si>
  <si>
    <t>1900 Wilkinson Blvd</t>
  </si>
  <si>
    <t>RADIOSHACK</t>
  </si>
  <si>
    <t>5701 Westpark Dr, Suite 205</t>
  </si>
  <si>
    <t>RAINTREE COUNTRY CLUB</t>
  </si>
  <si>
    <t>8600 Raintree Ln</t>
  </si>
  <si>
    <t>RAMADA WORLDWIDE INC</t>
  </si>
  <si>
    <t>1 Sylvan Way</t>
  </si>
  <si>
    <t>Parsippany</t>
  </si>
  <si>
    <t>07054</t>
  </si>
  <si>
    <t>RANDOLPH &amp; SON BUILDERS INC</t>
  </si>
  <si>
    <t>PO Box 410283</t>
  </si>
  <si>
    <t>4600 Park Rd, Suite 103</t>
  </si>
  <si>
    <t>RANDY MARION CHEVROLET PONTIAC</t>
  </si>
  <si>
    <t>220 W Plaza Dr</t>
  </si>
  <si>
    <t>R-ANELL HOUSING GROUP LLC</t>
  </si>
  <si>
    <t>RAUCH INDUSTRIES INC</t>
  </si>
  <si>
    <t>PO Box 609</t>
  </si>
  <si>
    <t>RAYMOND JAMES FINANCIAL SERVICES INC</t>
  </si>
  <si>
    <t>16315A Northcross Dr</t>
  </si>
  <si>
    <t>RBC CENTURA</t>
  </si>
  <si>
    <t>2000 Randolph Rd</t>
  </si>
  <si>
    <t>RE/MAX EXECUTIVE REALTY</t>
  </si>
  <si>
    <t>7825 Ballantyne Commons Pkwy, Suite 350</t>
  </si>
  <si>
    <t>REA CONTRACTING CO LLC</t>
  </si>
  <si>
    <t>PO Box 32487</t>
  </si>
  <si>
    <t>READY-MIXED CONCRETE</t>
  </si>
  <si>
    <t>2289 Salisbury Rd</t>
  </si>
  <si>
    <t>REALTY PLACE</t>
  </si>
  <si>
    <t>19901 W Catawba Ave, Suite 105</t>
  </si>
  <si>
    <t>RED ROBIN GOURMET BURGERS</t>
  </si>
  <si>
    <t>6312 S Fiddlers Green Cir, Suite 200N</t>
  </si>
  <si>
    <t>Greenwood Village</t>
  </si>
  <si>
    <t>80111</t>
  </si>
  <si>
    <t>RED VALVE CO</t>
  </si>
  <si>
    <t>1205 Isley Dr</t>
  </si>
  <si>
    <t>REHAB SOLUTIONS INC</t>
  </si>
  <si>
    <t>3029 Senna Dr</t>
  </si>
  <si>
    <t>REHABILITATION &amp; HEALTH CENTER OF GASTONIA</t>
  </si>
  <si>
    <t>416 N Highland St</t>
  </si>
  <si>
    <t>REHABILITATION AND NURSING CENTER OF MONROE</t>
  </si>
  <si>
    <t>1212 Sunset Dr E</t>
  </si>
  <si>
    <t>REMEDY INTELLIGENT STAFFING</t>
  </si>
  <si>
    <t>301-B E Woodlawn Rd</t>
  </si>
  <si>
    <t>RESOURCES FOR SENIOR LIVING LLC</t>
  </si>
  <si>
    <t>7621 Little Ave, Suite 430</t>
  </si>
  <si>
    <t>REVERE GROUP, THE</t>
  </si>
  <si>
    <t>5925 Carnegie Blvd, Suite 350</t>
  </si>
  <si>
    <t>REYNOLDS FENCE &amp; GUARD RAIL INC</t>
  </si>
  <si>
    <t>9320 Machado Dr</t>
  </si>
  <si>
    <t>RHA/HOWELL CARE CENTERS INC</t>
  </si>
  <si>
    <t>11950 Howell Center Dr</t>
  </si>
  <si>
    <t>RICHARD PETTY DRIVING EXPERIENCE</t>
  </si>
  <si>
    <t>6022 Victory Ln</t>
  </si>
  <si>
    <t>RIVER VALLEY ANIMAL FOODS</t>
  </si>
  <si>
    <t>PO Box 158</t>
  </si>
  <si>
    <t>Harmony</t>
  </si>
  <si>
    <t>28634</t>
  </si>
  <si>
    <t>RL STOWE MILLS INC</t>
  </si>
  <si>
    <t>PO Box 351</t>
  </si>
  <si>
    <t>ROBERT ABBEY INC</t>
  </si>
  <si>
    <t>3166 Main Ave SE</t>
  </si>
  <si>
    <t>ROBERT BOSCH TOOL CORP</t>
  </si>
  <si>
    <t>ROBERT HALF INTERNATIONAL INC</t>
  </si>
  <si>
    <t>201 S College St, Suite 2200</t>
  </si>
  <si>
    <t>ROBERT YATES RACING INC</t>
  </si>
  <si>
    <t>PO Box 3640</t>
  </si>
  <si>
    <t>ROBERTSON AIRTECH INTERNATIONAL INC</t>
  </si>
  <si>
    <t>1101 E 36th St</t>
  </si>
  <si>
    <t>ROBINSON, BRADSHAW &amp; HINSON PA</t>
  </si>
  <si>
    <t>101 N Tryon St, Suite 1900</t>
  </si>
  <si>
    <t>28246</t>
  </si>
  <si>
    <t>ROCK BARN GOLF AND SPA</t>
  </si>
  <si>
    <t>3791 Club House Dr NE</t>
  </si>
  <si>
    <t>ROCK BOTTOM BREWERY</t>
  </si>
  <si>
    <t>401 N Tryon St</t>
  </si>
  <si>
    <t>ROCK-TENN CO</t>
  </si>
  <si>
    <t>PO Box 669</t>
  </si>
  <si>
    <t>ROCK-TENN PAPERBOARD AND PACKAGING LLC</t>
  </si>
  <si>
    <t>ROCKWELL AUTOMATION-RELIANCE ELECTRIC</t>
  </si>
  <si>
    <t>101 Reliance Rd</t>
  </si>
  <si>
    <t>RODGERS BUILDERS INC</t>
  </si>
  <si>
    <t>PO Box 18446</t>
  </si>
  <si>
    <t>ROHM &amp; HAAS INC</t>
  </si>
  <si>
    <t>6101 Orr Rd</t>
  </si>
  <si>
    <t>ROMAN CATHOLIC DIOCESE OF CHARLOTTE</t>
  </si>
  <si>
    <t>1123 S Church St</t>
  </si>
  <si>
    <t>ROOMS TO GO</t>
  </si>
  <si>
    <t>11540 Hwy 92 E</t>
  </si>
  <si>
    <t>Seffner</t>
  </si>
  <si>
    <t>33584</t>
  </si>
  <si>
    <t>ROSS STORES INC</t>
  </si>
  <si>
    <t>1000 Retail Dr</t>
  </si>
  <si>
    <t>ROUSH &amp; YATES RACING ENGINES</t>
  </si>
  <si>
    <t>PO Box 3788</t>
  </si>
  <si>
    <t>ROUSH ENTERPRISES INC</t>
  </si>
  <si>
    <t>122 Knob Hill Rd</t>
  </si>
  <si>
    <t>ROWAN COUNTY</t>
  </si>
  <si>
    <t>130 W Innes St</t>
  </si>
  <si>
    <t>ROWAN COUNTY YMCA</t>
  </si>
  <si>
    <t>PO Box 1575</t>
  </si>
  <si>
    <t>ROWAN REGIONAL MEDICAL CENTER</t>
  </si>
  <si>
    <t>612 Mocksville Ave</t>
  </si>
  <si>
    <t>ROWAN-CABARRUS COMMUNITY COLLEGE</t>
  </si>
  <si>
    <t>PO Box 1595</t>
  </si>
  <si>
    <t>ROWAN-SALISBURY SCHOOLS</t>
  </si>
  <si>
    <t>PO Box 2349</t>
  </si>
  <si>
    <t>ROYAL &amp; SUNALLIANCE</t>
  </si>
  <si>
    <t>3600 Arco Corporate Dr</t>
  </si>
  <si>
    <t>ROYAL AMERICAN CO LLC</t>
  </si>
  <si>
    <t>PO Box 430</t>
  </si>
  <si>
    <t>ROYALE COMFORT SEATING INC</t>
  </si>
  <si>
    <t>PO Box 235</t>
  </si>
  <si>
    <t>RPM WOOD FINISHES GROUP INC</t>
  </si>
  <si>
    <t>22 S Center St</t>
  </si>
  <si>
    <t>RR DONNELLEY</t>
  </si>
  <si>
    <t>201 S College St, Suite 2250</t>
  </si>
  <si>
    <t>RSI HOME PRODUCTS INC</t>
  </si>
  <si>
    <t>350 N Generals Blvd</t>
  </si>
  <si>
    <t>RUBBERMAID FOOD SERVICE PRODUCTS</t>
  </si>
  <si>
    <t>16905 Northcross Dr</t>
  </si>
  <si>
    <t>RUTH'S CHRIS STEAKHOUSE</t>
  </si>
  <si>
    <t>RUTLAND PLASTICS TECHNOLOGIES INC</t>
  </si>
  <si>
    <t>RYAN HOMES</t>
  </si>
  <si>
    <t>10710 Sikes Pl, Suite 200</t>
  </si>
  <si>
    <t>RYDER TRANSPORTATION SERVICES</t>
  </si>
  <si>
    <t>3456 20th Ave SE</t>
  </si>
  <si>
    <t>RYERSON INC</t>
  </si>
  <si>
    <t>5435 Hovis Rd</t>
  </si>
  <si>
    <t>RYLAND HOMES</t>
  </si>
  <si>
    <t>207 Regency Executive Pk, Suite 100</t>
  </si>
  <si>
    <t>S&amp;D COFFEE INC</t>
  </si>
  <si>
    <t>S&amp;ME INC</t>
  </si>
  <si>
    <t>9751 Southern Pine Blvd</t>
  </si>
  <si>
    <t>S1 CORP</t>
  </si>
  <si>
    <t>2815 Coliseum Center Dr, Suite 300</t>
  </si>
  <si>
    <t>SACKNER PRODUCTS INC</t>
  </si>
  <si>
    <t>178 Orbit Rd</t>
  </si>
  <si>
    <t>SAFETY-KLEEN CORP</t>
  </si>
  <si>
    <t>2320 Yadkin Ave</t>
  </si>
  <si>
    <t>SAIA MOTOR FREIGHT LINE INC</t>
  </si>
  <si>
    <t>1101 W Craighead Rd</t>
  </si>
  <si>
    <t>SALEM INDUSTRIES</t>
  </si>
  <si>
    <t>1636 Salem Church Rd</t>
  </si>
  <si>
    <t>SALISBURY ROWAN COMMUNITY SERVICE COUNCIL INC</t>
  </si>
  <si>
    <t>PO Box 631</t>
  </si>
  <si>
    <t>SALVATION ARMY CHARLOTTE AREA COMMAND</t>
  </si>
  <si>
    <t>PO Box 31128</t>
  </si>
  <si>
    <t>6407 Idlewild Rd, Suite 204</t>
  </si>
  <si>
    <t>SANGER CLINIC, THE</t>
  </si>
  <si>
    <t>1001 Blythe Blvd, Suite 300</t>
  </si>
  <si>
    <t>SARA LEE INTIMATE APPAREL</t>
  </si>
  <si>
    <t>PO Box 5069</t>
  </si>
  <si>
    <t>SARSTEDT INC</t>
  </si>
  <si>
    <t>PO Box 468</t>
  </si>
  <si>
    <t>SATURN NURSING &amp; REHABILITATION</t>
  </si>
  <si>
    <t>1930 W Sugar Creek Rd</t>
  </si>
  <si>
    <t>PO Box 240828</t>
  </si>
  <si>
    <t>SAUSSY BURBANK</t>
  </si>
  <si>
    <t>517 S Sharon Amity Rd, Suite 100</t>
  </si>
  <si>
    <t>PO Box 7009</t>
  </si>
  <si>
    <t>SCHAEFFLER GROUP USA INC</t>
  </si>
  <si>
    <t>SCHLEGEL CORP</t>
  </si>
  <si>
    <t>SCHNEIDER MILLS INC</t>
  </si>
  <si>
    <t>PO Box 519</t>
  </si>
  <si>
    <t>SCHNEIDER NATIONAL INC</t>
  </si>
  <si>
    <t>2420 Starita Rd</t>
  </si>
  <si>
    <t>28292</t>
  </si>
  <si>
    <t>SCHULT HOMES</t>
  </si>
  <si>
    <t>PO Box 700</t>
  </si>
  <si>
    <t>SCOTT CLARK'S TOYOTA CITY</t>
  </si>
  <si>
    <t>6801 E Independence Blvd</t>
  </si>
  <si>
    <t>SCOTT HEALTH &amp; SAFETY</t>
  </si>
  <si>
    <t>PO Box 569</t>
  </si>
  <si>
    <t>SCOTTISH RE (US) INC</t>
  </si>
  <si>
    <t>13840 Ballantyne Corporate Pl, Suite 500</t>
  </si>
  <si>
    <t>SCURRY CONSTRUCTION INC</t>
  </si>
  <si>
    <t>PO Box 548</t>
  </si>
  <si>
    <t>SEAGOING UNIFORM CORP</t>
  </si>
  <si>
    <t>SEAMLESS SENSATIONS INC</t>
  </si>
  <si>
    <t>SEARS HOLDINGS CORP</t>
  </si>
  <si>
    <t>3333 Beverly Rd</t>
  </si>
  <si>
    <t>Hoffman Estates</t>
  </si>
  <si>
    <t>60179</t>
  </si>
  <si>
    <t>SECURITAS SECURITY</t>
  </si>
  <si>
    <t>5108 Reagan Dr, Suite 14</t>
  </si>
  <si>
    <t>SECURITY FORCES INC</t>
  </si>
  <si>
    <t>PO Box 36607</t>
  </si>
  <si>
    <t>SELLETHICS MARKETING GROUP INC</t>
  </si>
  <si>
    <t>941 Matthews Mint Hill Rd</t>
  </si>
  <si>
    <t>651 Michael Wylie Dr</t>
  </si>
  <si>
    <t>SERVICE PARTNERS OF THE CAROLINAS</t>
  </si>
  <si>
    <t>135 Denver Business Park</t>
  </si>
  <si>
    <t>SERVICE SOLUTIONS</t>
  </si>
  <si>
    <t>1146A E White St</t>
  </si>
  <si>
    <t>SGL CARBON LLC</t>
  </si>
  <si>
    <t>8600 Bill Ficklen Dr</t>
  </si>
  <si>
    <t>SHARON TOWERS</t>
  </si>
  <si>
    <t>5100 Sharon Rd</t>
  </si>
  <si>
    <t>SHARONVIEW FEDERAL CREDIT UNION</t>
  </si>
  <si>
    <t>PO Box 2070</t>
  </si>
  <si>
    <t>SHAW GROUP</t>
  </si>
  <si>
    <t>128 S Tryon St, Suite 400</t>
  </si>
  <si>
    <t>SHAW INDUSTRIES</t>
  </si>
  <si>
    <t>10901 Texland Blvd</t>
  </si>
  <si>
    <t>SHEA HOMES</t>
  </si>
  <si>
    <t>3436 Torringdon Way, Suite 100</t>
  </si>
  <si>
    <t>SHERATON HOTELS AND RESORTS</t>
  </si>
  <si>
    <t>1111 Westchester Avenue</t>
  </si>
  <si>
    <t>White Plains</t>
  </si>
  <si>
    <t>10604</t>
  </si>
  <si>
    <t>SHERER DENTAL LABORATORY INC</t>
  </si>
  <si>
    <t>PO Box 11627</t>
  </si>
  <si>
    <t>SHERRILL FURNITURE CO</t>
  </si>
  <si>
    <t>SHOE SHOW INC, THE</t>
  </si>
  <si>
    <t>PO Box 648</t>
  </si>
  <si>
    <t>SHOGREN HOSIERY MANUFACTURING CO INC</t>
  </si>
  <si>
    <t>PO Box 585</t>
  </si>
  <si>
    <t>SHOW PROS ENTERTAINMENT SERVICES OF CHARLOTTE INC</t>
  </si>
  <si>
    <t>PO Box 12599</t>
  </si>
  <si>
    <t>SHOWMARS OF AMERICA</t>
  </si>
  <si>
    <t>1317 Alfred St</t>
  </si>
  <si>
    <t>SHUFORD FURNITURE CO</t>
  </si>
  <si>
    <t>SHUFORD MILLS LLC</t>
  </si>
  <si>
    <t>PO Box 2228</t>
  </si>
  <si>
    <t>SHULL TRANSPORT LLC</t>
  </si>
  <si>
    <t>3101A 15th Ave SE</t>
  </si>
  <si>
    <t>SHURTAPE TECHNOLOGIES, LLC</t>
  </si>
  <si>
    <t>PO Box 1530</t>
  </si>
  <si>
    <t>SIEGLING AMERICA LLC</t>
  </si>
  <si>
    <t>12201 Vanstory Rd</t>
  </si>
  <si>
    <t>SIEMENS POWER GENERATION INC</t>
  </si>
  <si>
    <t>PO Box 7002</t>
  </si>
  <si>
    <t>SIGNATURE COMPANIES</t>
  </si>
  <si>
    <t>1092 Wilson Business Pkwy</t>
  </si>
  <si>
    <t>SIGNATURE CONSULTANTS</t>
  </si>
  <si>
    <t>128 S Tryon St, Suite 850</t>
  </si>
  <si>
    <t>SIMMONS CO</t>
  </si>
  <si>
    <t>5100R W WT Harris Blvd</t>
  </si>
  <si>
    <t>SIMPLEXGRINNELL</t>
  </si>
  <si>
    <t>9826 Southern Pine Blvd</t>
  </si>
  <si>
    <t>SJA INSURANCE AGENCY LLC</t>
  </si>
  <si>
    <t>13850 Ballentyne Corp Pl, Suite 200</t>
  </si>
  <si>
    <t>SMITH BARNEY</t>
  </si>
  <si>
    <t>6101 Carnegie Blvd</t>
  </si>
  <si>
    <t>SMITH TURF &amp; IRRIGATION CO</t>
  </si>
  <si>
    <t>PO Box 669388</t>
  </si>
  <si>
    <t>SNYDER PACKAGING INC</t>
  </si>
  <si>
    <t>SNYDER PAPER CORP</t>
  </si>
  <si>
    <t>PO Box 758</t>
  </si>
  <si>
    <t>SOLECTRON TECHNOLOGY INC</t>
  </si>
  <si>
    <t>PO Box 562148</t>
  </si>
  <si>
    <t>SOLIANT LLC</t>
  </si>
  <si>
    <t>1872 Hwy 9 Bypass W</t>
  </si>
  <si>
    <t>SONIC AUTOMOTIVE</t>
  </si>
  <si>
    <t>5401 E Independence Blvd</t>
  </si>
  <si>
    <t>SONNY HANCOCK AUTOMOTIVE GROUP</t>
  </si>
  <si>
    <t>PO Box 1926</t>
  </si>
  <si>
    <t>SONOCO PRODUCTS CO</t>
  </si>
  <si>
    <t>SOUTH CAROLINA STATE GOVERNMENT</t>
  </si>
  <si>
    <t>1201 Main St, Suite 800</t>
  </si>
  <si>
    <t>Columbia</t>
  </si>
  <si>
    <t>29201</t>
  </si>
  <si>
    <t>SOUTH FORK INDUSTRIES INC</t>
  </si>
  <si>
    <t>PO Box 1220</t>
  </si>
  <si>
    <t>SOUTH PIEDMONT COMMUNITY COLLEGE</t>
  </si>
  <si>
    <t>PO Box 126</t>
  </si>
  <si>
    <t>SOUTHCO INDUSTRIES INC</t>
  </si>
  <si>
    <t>1840 E Dixon Blvd</t>
  </si>
  <si>
    <t>SOUTHEAST ANESTHESIOLOGY CONSULTANTS</t>
  </si>
  <si>
    <t>927 East Blvd</t>
  </si>
  <si>
    <t>SOUTHEASTERN FREIGHT LINES INC</t>
  </si>
  <si>
    <t>4524 Reagan Dr</t>
  </si>
  <si>
    <t>SOUTHEASTERN INDUSTRIAL MACHINERY</t>
  </si>
  <si>
    <t>PO Box 12188</t>
  </si>
  <si>
    <t>PO Box 279</t>
  </si>
  <si>
    <t>SOUTHEASTERN PACKAGING CO</t>
  </si>
  <si>
    <t>SOUTHERLAND ASSOCIATES INC</t>
  </si>
  <si>
    <t>255 E Hebron St</t>
  </si>
  <si>
    <t>SOUTHERN CONCRETE MATERIALS</t>
  </si>
  <si>
    <t>PO Box 33038</t>
  </si>
  <si>
    <t>SOUTHERN CONTAINER CORP</t>
  </si>
  <si>
    <t>PO Box 1009</t>
  </si>
  <si>
    <t>SOUTHERN FABRICATORS INC</t>
  </si>
  <si>
    <t>PO Box 97</t>
  </si>
  <si>
    <t>SOUTHERN FURNITURE CO OF CONOVER INC</t>
  </si>
  <si>
    <t>PO Box 307</t>
  </si>
  <si>
    <t>12933 Sam Neely Rd</t>
  </si>
  <si>
    <t>SOUTHMINSTER INC</t>
  </si>
  <si>
    <t>8919 Park Rd</t>
  </si>
  <si>
    <t>SOUTHWOOD FURNITURE CORP</t>
  </si>
  <si>
    <t>PO Box 2245</t>
  </si>
  <si>
    <t>SOUTHWOOD REALTY</t>
  </si>
  <si>
    <t>PO Box 280</t>
  </si>
  <si>
    <t>PO Box 1680</t>
  </si>
  <si>
    <t>SPECIALTY MANUFACTURING CO</t>
  </si>
  <si>
    <t>PO Box 790</t>
  </si>
  <si>
    <t>SPECTRUM DYED YARNS INC</t>
  </si>
  <si>
    <t>SPEEDWAY MOTOR SPORTS INC</t>
  </si>
  <si>
    <t>5265 Z-Max Blvd</t>
  </si>
  <si>
    <t>SPENCER GIFTS</t>
  </si>
  <si>
    <t>SPHERION STAFFING</t>
  </si>
  <si>
    <t>600 Fairview Rd, Suite 550</t>
  </si>
  <si>
    <t>SPIRIT TELECOM</t>
  </si>
  <si>
    <t>3545 Center Cir, Suite A</t>
  </si>
  <si>
    <t>SPRINGS GLOBAL US INC</t>
  </si>
  <si>
    <t>SPRINGS MEMORIAL HOSPITAL</t>
  </si>
  <si>
    <t>800 W Meeting St</t>
  </si>
  <si>
    <t>SPRINT</t>
  </si>
  <si>
    <t>2745 Whitehall Park Dr</t>
  </si>
  <si>
    <t>SPX CORP</t>
  </si>
  <si>
    <t>13515 Ballantyne Corporate Pl</t>
  </si>
  <si>
    <t>SQUARE D</t>
  </si>
  <si>
    <t>105 Summit Park Dr</t>
  </si>
  <si>
    <t>5113 Piper Station Dr, Suite 300</t>
  </si>
  <si>
    <t>ST PAUL TRAVELERS PROPERTY CASUALTY CO, THE</t>
  </si>
  <si>
    <t>11440 Carmel Commons Blvd</t>
  </si>
  <si>
    <t>1201 Tulip Dr</t>
  </si>
  <si>
    <t>STACY'S</t>
  </si>
  <si>
    <t>PO Box 709</t>
  </si>
  <si>
    <t>STANDARD REGISTER CO</t>
  </si>
  <si>
    <t>1803 Rocky River Rd N</t>
  </si>
  <si>
    <t>STANFORD FURNITURE CORP</t>
  </si>
  <si>
    <t>STANLEY TOTAL LIVING CENTER INC</t>
  </si>
  <si>
    <t>PO Box 489</t>
  </si>
  <si>
    <t>STANLEY WORKS, THE</t>
  </si>
  <si>
    <t>1000 Stanley Dr</t>
  </si>
  <si>
    <t>100 Stanley Rd</t>
  </si>
  <si>
    <t>STANLY COMMUNITY COLLEGE</t>
  </si>
  <si>
    <t>141 College Dr</t>
  </si>
  <si>
    <t>STANLY COUNTY</t>
  </si>
  <si>
    <t>1000 N First St</t>
  </si>
  <si>
    <t>STANLY COUNTY BOARD OF EDUCATION</t>
  </si>
  <si>
    <t>1000 N First St, Suite 4</t>
  </si>
  <si>
    <t>STANLY FIXTURES CO INC</t>
  </si>
  <si>
    <t>PO Box 616</t>
  </si>
  <si>
    <t>STANLY MANOR INC</t>
  </si>
  <si>
    <t>625 Bethany Rd</t>
  </si>
  <si>
    <t>STANLY REGIONAL MEDICAL CENTER</t>
  </si>
  <si>
    <t>PO Box 1489</t>
  </si>
  <si>
    <t>STAR AMERICA</t>
  </si>
  <si>
    <t>PO Box 1501</t>
  </si>
  <si>
    <t>STARBUCKS COFFEE CO</t>
  </si>
  <si>
    <t>401 N Tryon St, 10th Floor</t>
  </si>
  <si>
    <t>STARNES PALLET SERVICES &amp; REMOVAL</t>
  </si>
  <si>
    <t>4000 Jeff Adams Dr</t>
  </si>
  <si>
    <t>STARR ELECTRIC CO</t>
  </si>
  <si>
    <t>PO Box 18726</t>
  </si>
  <si>
    <t>STATE FARM MUTUAL AUTO INSURANCE CO</t>
  </si>
  <si>
    <t>13860 Ballantyne Corp Pl, Suite 500</t>
  </si>
  <si>
    <t>STATE UTILITY CONTRACTORS</t>
  </si>
  <si>
    <t>PO Box 5019</t>
  </si>
  <si>
    <t>PO Box 749</t>
  </si>
  <si>
    <t>PO Box 19289</t>
  </si>
  <si>
    <t>STERLING JEWELERS INC</t>
  </si>
  <si>
    <t>375 Ghent Rd</t>
  </si>
  <si>
    <t>Akron</t>
  </si>
  <si>
    <t>44333</t>
  </si>
  <si>
    <t>STI/KINGS PLUSH PRODUCTS</t>
  </si>
  <si>
    <t>2980 Mason St</t>
  </si>
  <si>
    <t>STRATEGIC OUTSOURCING INC</t>
  </si>
  <si>
    <t>PO Box 241448</t>
  </si>
  <si>
    <t>128 S Tryon St, Suite 1720</t>
  </si>
  <si>
    <t>STRAYER UNIVERSITY</t>
  </si>
  <si>
    <t>2430 Whitehall Park Dr, Suite 700</t>
  </si>
  <si>
    <t>STRONGHAVEN CORRUGATED CONTAINERS</t>
  </si>
  <si>
    <t>11135 Monroe Rd</t>
  </si>
  <si>
    <t>SUBARU FOLGER AUTOMOTIVE</t>
  </si>
  <si>
    <t>SUBWAY</t>
  </si>
  <si>
    <t>325 Bic Dr</t>
  </si>
  <si>
    <t>Milford</t>
  </si>
  <si>
    <t>06461</t>
  </si>
  <si>
    <t>SULLIVAN CARSON INC</t>
  </si>
  <si>
    <t>PO Box 60</t>
  </si>
  <si>
    <t>SUN CHEMICAL CORP</t>
  </si>
  <si>
    <t>1701 Westinghouse Blvd</t>
  </si>
  <si>
    <t>SUN TERRACE CASUAL FURNITURE INC</t>
  </si>
  <si>
    <t>2369 Charles Roper Jonas Hwy</t>
  </si>
  <si>
    <t>1337 Hundred Oaks Dr</t>
  </si>
  <si>
    <t>SUNBELT TRANSPORTATION INC</t>
  </si>
  <si>
    <t>3255 20th Ave SE</t>
  </si>
  <si>
    <t>SUNGARD TRUST SYSTEMS INC</t>
  </si>
  <si>
    <t>PO Box 240882</t>
  </si>
  <si>
    <t>SUNSHINE MANUFACTURED STRUCTURES INC</t>
  </si>
  <si>
    <t>PO Box 1439</t>
  </si>
  <si>
    <t>PO Box 35607</t>
  </si>
  <si>
    <t>SUPERIOR ESSEX</t>
  </si>
  <si>
    <t>PO Box 640</t>
  </si>
  <si>
    <t>SUPPLY ONE</t>
  </si>
  <si>
    <t>PO Box 1469</t>
  </si>
  <si>
    <t>SWIFT GALEY</t>
  </si>
  <si>
    <t>1910 Hunt Ave</t>
  </si>
  <si>
    <t>SWING TRANSPORT INC</t>
  </si>
  <si>
    <t>1405 N Salisbury Ave</t>
  </si>
  <si>
    <t>SYGMA NETWORK INC</t>
  </si>
  <si>
    <t>2730 Hutchinson McDonald Rd, Suite N</t>
  </si>
  <si>
    <t>SYSCO FOOD SERVICES OF CHARLOTTE LLC</t>
  </si>
  <si>
    <t>PO Box 96</t>
  </si>
  <si>
    <t>TALLEY METALS TECHNOLOGY INC</t>
  </si>
  <si>
    <t>PO Box 2498</t>
  </si>
  <si>
    <t>Hartsville</t>
  </si>
  <si>
    <t>29551</t>
  </si>
  <si>
    <t>8120 University City Blvd</t>
  </si>
  <si>
    <t>TAYLOR CLAY PRODUCTS INC</t>
  </si>
  <si>
    <t>TAYLOR KING FURNITURE INC</t>
  </si>
  <si>
    <t>286 County Home Rd</t>
  </si>
  <si>
    <t>TCS DESIGNS INC</t>
  </si>
  <si>
    <t>1851 Ninth Ave NE</t>
  </si>
  <si>
    <t>TECHNIBILT/CARI-ALL LTD</t>
  </si>
  <si>
    <t>TEREX CORP</t>
  </si>
  <si>
    <t>590 Huey Rd</t>
  </si>
  <si>
    <t>TERMINAL TRUCKING CO INC</t>
  </si>
  <si>
    <t>PO Box 1623</t>
  </si>
  <si>
    <t>TEXTRON FASTENING SYSTEMS</t>
  </si>
  <si>
    <t>614 NC Hwy 200</t>
  </si>
  <si>
    <t>THARPE CO INC, THE</t>
  </si>
  <si>
    <t>149 Crawford Rd</t>
  </si>
  <si>
    <t>THERMOFORM PLASTICS INC</t>
  </si>
  <si>
    <t>1000 Oaks Pkwy</t>
  </si>
  <si>
    <t>PO Box 1209</t>
  </si>
  <si>
    <t>THOMAS CONCRETE INC</t>
  </si>
  <si>
    <t>3701 N Graham St</t>
  </si>
  <si>
    <t>THOMASVILLE FURNITURE INDUSTRIES INC</t>
  </si>
  <si>
    <t>THOMASVILLE FURNITURE INDUSTRIES INC, PLANT 3</t>
  </si>
  <si>
    <t>350A Old Murdock Rd</t>
  </si>
  <si>
    <t>THOMPSON CHILD &amp; FAMILY FOCUS</t>
  </si>
  <si>
    <t>6800 Saint Peter's Ln</t>
  </si>
  <si>
    <t>THOR-LO INC</t>
  </si>
  <si>
    <t>PO Box 5399</t>
  </si>
  <si>
    <t>TIAA-CREF</t>
  </si>
  <si>
    <t>8500 Andrew Carnegie Blvd</t>
  </si>
  <si>
    <t>TICONA POLYMERS</t>
  </si>
  <si>
    <t>2525 Blacksburg Rd</t>
  </si>
  <si>
    <t>TIDEFLEX TECHNOLOGIES</t>
  </si>
  <si>
    <t>1330 Isley Rd</t>
  </si>
  <si>
    <t>TIME WARNER CABLE</t>
  </si>
  <si>
    <t>3140 W Arrowood Rd</t>
  </si>
  <si>
    <t>3101 Asbury Ave, Suite D</t>
  </si>
  <si>
    <t>TIMKEN CO</t>
  </si>
  <si>
    <t>1000 Timken Pl</t>
  </si>
  <si>
    <t>Iron Station</t>
  </si>
  <si>
    <t>28080</t>
  </si>
  <si>
    <t>TJX COMPANIES INC</t>
  </si>
  <si>
    <t>14300 Carowinds Blvd</t>
  </si>
  <si>
    <t>TK HOLDINGS INC</t>
  </si>
  <si>
    <t>650 Chesterfield Rd</t>
  </si>
  <si>
    <t>TOTAL CARE INC</t>
  </si>
  <si>
    <t>4530 Park Rd, Suite 430</t>
  </si>
  <si>
    <t>TOTER INC</t>
  </si>
  <si>
    <t>PO Box 5338</t>
  </si>
  <si>
    <t>TOWN OF CHERAW</t>
  </si>
  <si>
    <t>TOWN OF HUNTERSVILLE</t>
  </si>
  <si>
    <t>PO Box 664</t>
  </si>
  <si>
    <t>TOWN OF MATTHEWS</t>
  </si>
  <si>
    <t>232 Matthews Station St</t>
  </si>
  <si>
    <t>TOWN OF MOORESVILLE</t>
  </si>
  <si>
    <t>PO Box 878</t>
  </si>
  <si>
    <t>TOYOTA OF LAKE NORMAN</t>
  </si>
  <si>
    <t>13429 Statesville Rd</t>
  </si>
  <si>
    <t>TOYS "R" US INC</t>
  </si>
  <si>
    <t>One Geoffrey Way</t>
  </si>
  <si>
    <t>Wayne</t>
  </si>
  <si>
    <t>07470</t>
  </si>
  <si>
    <t>TRADE SOURCE INC</t>
  </si>
  <si>
    <t>2828 Queen City Dr</t>
  </si>
  <si>
    <t>TRADESMEN INTERNATIONAL INC</t>
  </si>
  <si>
    <t>2211 Executive St, Suite D</t>
  </si>
  <si>
    <t>214 N Tryon St, Suite 4000</t>
  </si>
  <si>
    <t>4500 Morris Field Dr</t>
  </si>
  <si>
    <t>401 N Tryon St, Suites 700, 800 &amp; 900</t>
  </si>
  <si>
    <t>TRANSIT MANAGEMENT OF CHARLOTTE INC</t>
  </si>
  <si>
    <t>3145 S Tryon St</t>
  </si>
  <si>
    <t>TRANSITIONAL HEALTH SERVICES</t>
  </si>
  <si>
    <t>1810 Concord Lake Rd</t>
  </si>
  <si>
    <t>TRANSUNION SETTLEMENT SOLUTIONS</t>
  </si>
  <si>
    <t>8215 Forest Pointe Blvd, Suite 100</t>
  </si>
  <si>
    <t>TRAVMED USA INC</t>
  </si>
  <si>
    <t>1815 Coffey Point Dr</t>
  </si>
  <si>
    <t>TRIANGLE BRICK CO</t>
  </si>
  <si>
    <t>Hwy 52 N</t>
  </si>
  <si>
    <t>TRIARC COMPANIES INC</t>
  </si>
  <si>
    <t>280 Park Ave</t>
  </si>
  <si>
    <t>10017</t>
  </si>
  <si>
    <t>TRIM SYSTEMS</t>
  </si>
  <si>
    <t>2227 Salisbury Hwy</t>
  </si>
  <si>
    <t>PO Box 7507</t>
  </si>
  <si>
    <t>TROUTMAN ENTERPRISES OF CONCORD INC</t>
  </si>
  <si>
    <t>TRUCK EQUIPMENT MANUFACTURING CO OF CHARLOTTE INC</t>
  </si>
  <si>
    <t>2250 Toomey Ave</t>
  </si>
  <si>
    <t>TRUE BEHAVIORIAL HEALTHCARE</t>
  </si>
  <si>
    <t>549 Cox Rd</t>
  </si>
  <si>
    <t>TRUGREEN LANDCARE</t>
  </si>
  <si>
    <t>PO Box 7067</t>
  </si>
  <si>
    <t>TRUGREEN-CHEMLAWN</t>
  </si>
  <si>
    <t>PO Box 38330</t>
  </si>
  <si>
    <t>TRULIANT FEDERAL CREDIT UNION</t>
  </si>
  <si>
    <t>400 S Tryon St</t>
  </si>
  <si>
    <t>TRYON DISTRIBUTING CO</t>
  </si>
  <si>
    <t>4701 Stockholm Ct</t>
  </si>
  <si>
    <t>TSG INC</t>
  </si>
  <si>
    <t>PO Box 2141</t>
  </si>
  <si>
    <t>TUBE SPECIALTIES INC</t>
  </si>
  <si>
    <t>1401 Industrial Dr</t>
  </si>
  <si>
    <t>TUBETEC - ADVANCED TUBING TECHNOLOGY INC</t>
  </si>
  <si>
    <t>150 Intercraft Dr</t>
  </si>
  <si>
    <t>TUFCO TECHNOLOGIES INC</t>
  </si>
  <si>
    <t>PO Box 810</t>
  </si>
  <si>
    <t>TURBO SYSTEMS INC</t>
  </si>
  <si>
    <t>203 Turbo Dr</t>
  </si>
  <si>
    <t>TURNER CONSTRUCTION</t>
  </si>
  <si>
    <t>5955 Carnegie Blvd, Suite 300</t>
  </si>
  <si>
    <t>TURNER TRUCKING CO LLC</t>
  </si>
  <si>
    <t>108 E College Ave</t>
  </si>
  <si>
    <t>TUSCARORA YARNS INC</t>
  </si>
  <si>
    <t>PO Box 218</t>
  </si>
  <si>
    <t>Mount Pleasant</t>
  </si>
  <si>
    <t>28124</t>
  </si>
  <si>
    <t>TWIN CITY KNITTING CO INC</t>
  </si>
  <si>
    <t>TYCO ELECTRONICS</t>
  </si>
  <si>
    <t>200 Interconnect Dr</t>
  </si>
  <si>
    <t>TYSON FOODS INC, FRESH RETAIL DIV</t>
  </si>
  <si>
    <t>PO Box 965</t>
  </si>
  <si>
    <t>UBS FINANCIAL SERVICES</t>
  </si>
  <si>
    <t>6337 Morrison Blvd</t>
  </si>
  <si>
    <t>UCS SPIRIT</t>
  </si>
  <si>
    <t>511 Hoffman Rd</t>
  </si>
  <si>
    <t>UNION COUNTY</t>
  </si>
  <si>
    <t>500 N Main St, Suite 835</t>
  </si>
  <si>
    <t>UNION COUNTY PUBLIC SCHOOLS</t>
  </si>
  <si>
    <t>500 N Main St, Suite 700</t>
  </si>
  <si>
    <t>UNION ELECTRIC MEMBERSHIP CORP</t>
  </si>
  <si>
    <t>PO Box 5014</t>
  </si>
  <si>
    <t>UNITED FAMILY SERVICES</t>
  </si>
  <si>
    <t>601 E Fifth St, Suite 400</t>
  </si>
  <si>
    <t>UNITED MORTGAGE &amp; LOAN</t>
  </si>
  <si>
    <t>6701 Carmel Rd, Suite 110</t>
  </si>
  <si>
    <t>UNITED PARCEL SERVICE</t>
  </si>
  <si>
    <t>1514 N Graham St</t>
  </si>
  <si>
    <t>UNITED SUPPLY CO</t>
  </si>
  <si>
    <t>PO Box 410149</t>
  </si>
  <si>
    <t>UNIVERSAL FOREST PRODUCTS INC</t>
  </si>
  <si>
    <t>PO Box 1635</t>
  </si>
  <si>
    <t>UNIVERSITY CHILD DEVELOPMENT CENTER</t>
  </si>
  <si>
    <t>8303 University Executive Park, Suite 450</t>
  </si>
  <si>
    <t>9201 University City Blvd</t>
  </si>
  <si>
    <t>28223</t>
  </si>
  <si>
    <t>UNIVERSITY OF PHOENIX</t>
  </si>
  <si>
    <t>3800 Arco Corporate Dr</t>
  </si>
  <si>
    <t>UNIVERSITY OF SOUTH CAROLINA-LANCASTER</t>
  </si>
  <si>
    <t>PO Box 889</t>
  </si>
  <si>
    <t>UPPER PALMETTO YMCA</t>
  </si>
  <si>
    <t>361 Charlotte Ave</t>
  </si>
  <si>
    <t>UPS FREIGHT</t>
  </si>
  <si>
    <t>5204 N Graham St</t>
  </si>
  <si>
    <t>US AIRWAYS</t>
  </si>
  <si>
    <t>PO Box 19004</t>
  </si>
  <si>
    <t>US COTTON</t>
  </si>
  <si>
    <t>11150 Westlake Dr</t>
  </si>
  <si>
    <t>US FOODSERVICE INC</t>
  </si>
  <si>
    <t>7801 Statesville Rd</t>
  </si>
  <si>
    <t>125 Fort Mill Pkwy</t>
  </si>
  <si>
    <t>US GOVERNMENT</t>
  </si>
  <si>
    <t>1800 F St NW</t>
  </si>
  <si>
    <t>20405</t>
  </si>
  <si>
    <t>US LEC OF NC INC</t>
  </si>
  <si>
    <t>6801 Morrison Blvd</t>
  </si>
  <si>
    <t>US POSTAL SERVICE</t>
  </si>
  <si>
    <t>2901 Scott Futrell Dr</t>
  </si>
  <si>
    <t>28228</t>
  </si>
  <si>
    <t>US TEXTILE CORP</t>
  </si>
  <si>
    <t>USF CORP</t>
  </si>
  <si>
    <t>5201 Sunset Rd</t>
  </si>
  <si>
    <t>UVEST FINANCIAL SERVICES GROUP</t>
  </si>
  <si>
    <t>200 S College St</t>
  </si>
  <si>
    <t>VALSPAR CORP, THE</t>
  </si>
  <si>
    <t>10300 Claude Freeman Dr</t>
  </si>
  <si>
    <t>VANGUARD FURNITURE CO INC</t>
  </si>
  <si>
    <t>PO Box 2187</t>
  </si>
  <si>
    <t>VANGUARD GROUP INC, THE</t>
  </si>
  <si>
    <t>2605 Water Ridge Pkwy</t>
  </si>
  <si>
    <t>VANGUARD SUPREME</t>
  </si>
  <si>
    <t>PO Box 5009</t>
  </si>
  <si>
    <t>VERIZON WIRELESS</t>
  </si>
  <si>
    <t>PO Box 18000</t>
  </si>
  <si>
    <t>Greenville</t>
  </si>
  <si>
    <t>VERTIS INC</t>
  </si>
  <si>
    <t>10911 Granite St</t>
  </si>
  <si>
    <t>VICTORIA'S SECRET</t>
  </si>
  <si>
    <t>Four Limited Parkway East</t>
  </si>
  <si>
    <t>VILLA ANTONIO ITALIAN RISTORANTE</t>
  </si>
  <si>
    <t>4707 South Blvd</t>
  </si>
  <si>
    <t>VILLAGE TAVERN</t>
  </si>
  <si>
    <t>4201 Congress St, Suite 190</t>
  </si>
  <si>
    <t>VINTAGE PHARMACEUTICALS INC</t>
  </si>
  <si>
    <t>3241 Woodpark Blvd</t>
  </si>
  <si>
    <t>WA BROWN &amp; SON INC</t>
  </si>
  <si>
    <t>209 Long Meadow Dr</t>
  </si>
  <si>
    <t>WACHOVIA CORP</t>
  </si>
  <si>
    <t>301 S College St</t>
  </si>
  <si>
    <t>28288</t>
  </si>
  <si>
    <t>WACKENHUT CORP, THE</t>
  </si>
  <si>
    <t>101 N Tryon St, Suite 112</t>
  </si>
  <si>
    <t>WADE MANUFACTURING CO</t>
  </si>
  <si>
    <t>PO Box 32</t>
  </si>
  <si>
    <t>WAL-MART STORES INC</t>
  </si>
  <si>
    <t>702 SW Eighth St</t>
  </si>
  <si>
    <t>Bentonville</t>
  </si>
  <si>
    <t>AR</t>
  </si>
  <si>
    <t>72716</t>
  </si>
  <si>
    <t>WARCO CONSTRUCTION INC</t>
  </si>
  <si>
    <t>3809 Weona Ave</t>
  </si>
  <si>
    <t>WASTE MANAGEMENT OF CAROLINAS</t>
  </si>
  <si>
    <t>2712 Lowell Rd</t>
  </si>
  <si>
    <t>8819 Columbus St</t>
  </si>
  <si>
    <t>WCCB-TV</t>
  </si>
  <si>
    <t>One Television Pl</t>
  </si>
  <si>
    <t>WCNC-TV NBC6</t>
  </si>
  <si>
    <t>1001 Wood Ridge Center Dr</t>
  </si>
  <si>
    <t>WEDECO/ITT INDUSTRIES</t>
  </si>
  <si>
    <t>14125 S Bridge Cir</t>
  </si>
  <si>
    <t>WEISER SECURITY SERVICES INC</t>
  </si>
  <si>
    <t>4801 E Independence Blvd, Suite 309</t>
  </si>
  <si>
    <t>WELLMAN INC</t>
  </si>
  <si>
    <t>1041 521 Corporate Center Dr</t>
  </si>
  <si>
    <t>WELLS FARGO MORTGAGE</t>
  </si>
  <si>
    <t>3476 Stateview Blvd</t>
  </si>
  <si>
    <t>WESLEY HALL INC</t>
  </si>
  <si>
    <t>PO Box 9</t>
  </si>
  <si>
    <t>WEST MARINE PRODUCTS</t>
  </si>
  <si>
    <t>860 Marine Dr</t>
  </si>
  <si>
    <t>WEYERHAEUSER CO</t>
  </si>
  <si>
    <t>PO Box 408</t>
  </si>
  <si>
    <t>10601 Westlake Dr</t>
  </si>
  <si>
    <t>WG (BILL) HEFNER VETERANS AFFAIRS MEDICAL CENTER</t>
  </si>
  <si>
    <t>1601 Brenner Ave</t>
  </si>
  <si>
    <t>WIKOFF COLOR CORP</t>
  </si>
  <si>
    <t>1886 Merritt Rd</t>
  </si>
  <si>
    <t>WILKINSON &amp; ASSOCIATES</t>
  </si>
  <si>
    <t>8604 Cliff Cameron Dr, Suite 110</t>
  </si>
  <si>
    <t>WILLIAM T BURNETT &amp; CO INC</t>
  </si>
  <si>
    <t>PO Box 5758</t>
  </si>
  <si>
    <t>WILLIAMS &amp; FUDGE INC</t>
  </si>
  <si>
    <t>PO Box 11590</t>
  </si>
  <si>
    <t>WILORA LAKE HEALTHCARE CENTER</t>
  </si>
  <si>
    <t>6001 Wilora Lake Rd</t>
  </si>
  <si>
    <t>WILSON TRUCKING CORP</t>
  </si>
  <si>
    <t>7500 Statesville Rd</t>
  </si>
  <si>
    <t>WINCUP INC</t>
  </si>
  <si>
    <t>314 Mooresville Blvd</t>
  </si>
  <si>
    <t>WINDSOR WINDOWS AND DOORS</t>
  </si>
  <si>
    <t>2210 Stafford St Ext</t>
  </si>
  <si>
    <t>WINGATE UNIVERSITY</t>
  </si>
  <si>
    <t>PO Box 159</t>
  </si>
  <si>
    <t>Wingate</t>
  </si>
  <si>
    <t>28174</t>
  </si>
  <si>
    <t>WINTHROP UNIVERSITY</t>
  </si>
  <si>
    <t>701 Oakland Ave</t>
  </si>
  <si>
    <t>29733</t>
  </si>
  <si>
    <t>WIREWAY/HUSKY CORP</t>
  </si>
  <si>
    <t>PO Box 645</t>
  </si>
  <si>
    <t>4611 E Independence Blvd</t>
  </si>
  <si>
    <t>WOMBLE CARLYLE SANDRIDGE &amp; RICE PLLC</t>
  </si>
  <si>
    <t>One Wachovia Center, 301 S College St, Suite 3500</t>
  </si>
  <si>
    <t>WORKFLOWONE</t>
  </si>
  <si>
    <t>4001 Performance Rd</t>
  </si>
  <si>
    <t>WORTHINGTON STEEL CO</t>
  </si>
  <si>
    <t>WSOC TELEVISION INC</t>
  </si>
  <si>
    <t>PO Box 34665</t>
  </si>
  <si>
    <t>WURTH WOOD GROUP</t>
  </si>
  <si>
    <t>4250 Golf Acres Dr</t>
  </si>
  <si>
    <t>XEROX OF THE CAROLINAS</t>
  </si>
  <si>
    <t>4201 Congress St, Suite 250</t>
  </si>
  <si>
    <t>4265 Trailer Dr</t>
  </si>
  <si>
    <t>YALE SECURITY INC</t>
  </si>
  <si>
    <t>1902 Airport Rd</t>
  </si>
  <si>
    <t>YELLOW FREIGHT SYSTEM INC</t>
  </si>
  <si>
    <t>11010 Reames Rd</t>
  </si>
  <si>
    <t>PO Box 2608</t>
  </si>
  <si>
    <t>YMCA OF GREATER CHARLOTTE</t>
  </si>
  <si>
    <t>500 E Morehead St, Suite 300</t>
  </si>
  <si>
    <t>YMCA OF IREDELL COUNTY</t>
  </si>
  <si>
    <t>828 Wesley Dr</t>
  </si>
  <si>
    <t>YORK COUNTY</t>
  </si>
  <si>
    <t>YORK COUNTY BOARD OF DISABILITIES &amp; SPECIAL NEEDS</t>
  </si>
  <si>
    <t>PO Box 30</t>
  </si>
  <si>
    <t>YORK ELECTRIC COOPERATIVE INC</t>
  </si>
  <si>
    <t>YORK SCHOOL DISTRICT FOUR</t>
  </si>
  <si>
    <t>120 E Elliott St</t>
  </si>
  <si>
    <t>YORK SCHOOL DISTRICT ONE</t>
  </si>
  <si>
    <t>PO Box 770</t>
  </si>
  <si>
    <t>YORK SCHOOL DISTRICT THREE</t>
  </si>
  <si>
    <t>PO Drawer 10072</t>
  </si>
  <si>
    <t>YORK TECHNICAL COLLEGE</t>
  </si>
  <si>
    <t>452 S Anderson Rd</t>
  </si>
  <si>
    <t>YOUNG FORD INC</t>
  </si>
  <si>
    <t>5411 N Tryon St</t>
  </si>
  <si>
    <t>1441 Gardiner Ln</t>
  </si>
  <si>
    <t>40213</t>
  </si>
  <si>
    <t>YWCA OF THE CENTRAL CAROLINAS</t>
  </si>
  <si>
    <t>3420 Park Rd</t>
  </si>
  <si>
    <t>ZAXBY'S</t>
  </si>
  <si>
    <t>1040 Founders Blvd</t>
  </si>
  <si>
    <t>Athens</t>
  </si>
  <si>
    <t>30606</t>
  </si>
  <si>
    <t>PO Box 969</t>
  </si>
  <si>
    <t>ZF LEMFORDER</t>
  </si>
  <si>
    <t>ZIMMER ORTHOPAEDIC SURGICAL PRODUCTS</t>
  </si>
  <si>
    <t>PO Box 1838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</si>
</sst>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rgb="FFFFFF00"/>
      <name val="Calibri"/>
      <charset val="134"/>
      <scheme val="minor"/>
    </font>
    <font>
      <sz val="12"/>
      <color indexed="8"/>
      <name val="Trebuchet MS"/>
      <charset val="134"/>
    </font>
    <font>
      <sz val="12"/>
      <name val="Trebuchet MS"/>
      <charset val="134"/>
    </font>
    <font>
      <b/>
      <sz val="12"/>
      <name val="Trebuchet MS"/>
      <charset val="134"/>
    </font>
    <font>
      <b/>
      <sz val="12"/>
      <color theme="1"/>
      <name val="Trebuchet MS"/>
      <charset val="134"/>
    </font>
    <font>
      <sz val="12"/>
      <color theme="1"/>
      <name val="Trebuchet MS"/>
      <charset val="134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  <font>
      <sz val="11"/>
      <color rgb="FFFF000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1" fillId="6" borderId="2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25" applyNumberFormat="0" applyAlignment="0" applyProtection="0">
      <alignment vertical="center"/>
    </xf>
    <xf numFmtId="0" fontId="19" fillId="8" borderId="26" applyNumberFormat="0" applyAlignment="0" applyProtection="0">
      <alignment vertical="center"/>
    </xf>
    <xf numFmtId="0" fontId="20" fillId="8" borderId="25" applyNumberFormat="0" applyAlignment="0" applyProtection="0">
      <alignment vertical="center"/>
    </xf>
    <xf numFmtId="0" fontId="21" fillId="9" borderId="27" applyNumberFormat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0" borderId="2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1" fillId="0" borderId="0"/>
    <xf numFmtId="0" fontId="29" fillId="0" borderId="0"/>
  </cellStyleXfs>
  <cellXfs count="48">
    <xf numFmtId="0" fontId="0" fillId="0" borderId="0" xfId="0"/>
    <xf numFmtId="0" fontId="1" fillId="0" borderId="0" xfId="47"/>
    <xf numFmtId="0" fontId="1" fillId="0" borderId="0" xfId="47" applyFont="1"/>
    <xf numFmtId="0" fontId="0" fillId="2" borderId="0" xfId="0" applyFill="1"/>
    <xf numFmtId="0" fontId="2" fillId="3" borderId="1" xfId="0" applyFont="1" applyFill="1" applyBorder="1"/>
    <xf numFmtId="0" fontId="0" fillId="4" borderId="2" xfId="0" applyFill="1" applyBorder="1"/>
    <xf numFmtId="0" fontId="2" fillId="3" borderId="3" xfId="0" applyFont="1" applyFill="1" applyBorder="1"/>
    <xf numFmtId="0" fontId="0" fillId="0" borderId="4" xfId="0" applyBorder="1"/>
    <xf numFmtId="0" fontId="0" fillId="0" borderId="5" xfId="0" applyBorder="1"/>
    <xf numFmtId="0" fontId="2" fillId="3" borderId="6" xfId="0" applyFont="1" applyFill="1" applyBorder="1"/>
    <xf numFmtId="0" fontId="0" fillId="0" borderId="7" xfId="0" applyBorder="1"/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9" fillId="5" borderId="19" xfId="48" applyFont="1" applyFill="1" applyBorder="1" applyAlignment="1">
      <alignment horizontal="center"/>
    </xf>
    <xf numFmtId="0" fontId="9" fillId="0" borderId="20" xfId="48" applyFont="1" applyBorder="1"/>
    <xf numFmtId="0" fontId="10" fillId="2" borderId="0" xfId="0" applyFont="1" applyFill="1"/>
    <xf numFmtId="0" fontId="2" fillId="3" borderId="0" xfId="0" applyFont="1" applyFill="1"/>
    <xf numFmtId="0" fontId="2" fillId="3" borderId="15" xfId="0" applyFont="1" applyFill="1" applyBorder="1"/>
    <xf numFmtId="0" fontId="0" fillId="0" borderId="0" xfId="0" applyAlignment="1">
      <alignment horizontal="left"/>
    </xf>
    <xf numFmtId="0" fontId="2" fillId="3" borderId="21" xfId="0" applyFont="1" applyFill="1" applyBorder="1"/>
    <xf numFmtId="0" fontId="0" fillId="0" borderId="0" xfId="0" applyAlignment="1">
      <alignment wrapText="1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Note" xfId="6" builtinId="10"/>
    <cellStyle name="Warning Text" xfId="7" builtinId="11"/>
    <cellStyle name="Title" xfId="8" builtinId="15"/>
    <cellStyle name="CExplanatory Text" xfId="9" builtinId="53"/>
    <cellStyle name="Heading 1" xfId="10" builtinId="16"/>
    <cellStyle name="Heading 2" xfId="11" builtinId="17"/>
    <cellStyle name="Heading 3" xfId="12" builtinId="18"/>
    <cellStyle name="Heading 4" xfId="13" builtinId="19"/>
    <cellStyle name="Input" xfId="14" builtinId="20"/>
    <cellStyle name="Output" xfId="15" builtinId="21"/>
    <cellStyle name="Calculation" xfId="16" builtinId="22"/>
    <cellStyle name="Check Cell" xfId="17" builtinId="23"/>
    <cellStyle name="Linked Cell" xfId="18" builtinId="24"/>
    <cellStyle name="Total" xfId="19" builtinId="25"/>
    <cellStyle name="Good" xfId="20" builtinId="26"/>
    <cellStyle name="Bad" xfId="21" builtinId="27"/>
    <cellStyle name="Neutral" xfId="22" builtinId="28"/>
    <cellStyle name="Accent1" xfId="23" builtinId="29"/>
    <cellStyle name="20% - Accent1" xfId="24" builtinId="30"/>
    <cellStyle name="40% - Accent1" xfId="25" builtinId="31"/>
    <cellStyle name="60% - Accent1" xfId="26" builtinId="32"/>
    <cellStyle name="Accent2" xfId="27" builtinId="33"/>
    <cellStyle name="20% - Accent2" xfId="28" builtinId="34"/>
    <cellStyle name="40% - Accent2" xfId="29" builtinId="35"/>
    <cellStyle name="60% - Accent2" xfId="30" builtinId="36"/>
    <cellStyle name="Accent3" xfId="31" builtinId="37"/>
    <cellStyle name="20% - Accent3" xfId="32" builtinId="38"/>
    <cellStyle name="40% - Accent3" xfId="33" builtinId="39"/>
    <cellStyle name="60% - Accent3" xfId="34" builtinId="40"/>
    <cellStyle name="Accent4" xfId="35" builtinId="41"/>
    <cellStyle name="20% - Accent4" xfId="36" builtinId="42"/>
    <cellStyle name="40% - Accent4" xfId="37" builtinId="43"/>
    <cellStyle name="60% - Accent4" xfId="38" builtinId="44"/>
    <cellStyle name="Accent5" xfId="39" builtinId="45"/>
    <cellStyle name="20% - Accent5" xfId="40" builtinId="46"/>
    <cellStyle name="40% - Accent5" xfId="41" builtinId="47"/>
    <cellStyle name="60% - Accent5" xfId="42" builtinId="48"/>
    <cellStyle name="Accent6" xfId="43" builtinId="49"/>
    <cellStyle name="20% - Accent6" xfId="44" builtinId="50"/>
    <cellStyle name="40% - Accent6" xfId="45" builtinId="51"/>
    <cellStyle name="60% - Accent6" xfId="46" builtinId="52"/>
    <cellStyle name="Normal 2" xfId="47"/>
    <cellStyle name="Normal_RemoveDuplicates" xfId="48"/>
  </cellStyles>
  <dxfs count="4"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190501</xdr:colOff>
      <xdr:row>0</xdr:row>
      <xdr:rowOff>66675</xdr:rowOff>
    </xdr:from>
    <xdr:to>
      <xdr:col>2</xdr:col>
      <xdr:colOff>1438275</xdr:colOff>
      <xdr:row>2</xdr:row>
      <xdr:rowOff>136598</xdr:rowOff>
    </xdr:to>
    <xdr:sp>
      <xdr:nvSpPr>
        <xdr:cNvPr id="2" name="Rounded Rectangle 1"/>
        <xdr:cNvSpPr/>
      </xdr:nvSpPr>
      <xdr:spPr>
        <a:xfrm>
          <a:off x="190500" y="66675"/>
          <a:ext cx="3332480" cy="45085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18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  <a:latin typeface="Trebuchet MS" panose="020B0603020202020204" pitchFamily="34" charset="0"/>
            </a:rPr>
            <a:t>Text Functions</a:t>
          </a:r>
          <a:endParaRPr lang="en-US" sz="18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Trebuchet MS" panose="020B0603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133350</xdr:colOff>
      <xdr:row>0</xdr:row>
      <xdr:rowOff>114300</xdr:rowOff>
    </xdr:from>
    <xdr:to>
      <xdr:col>1</xdr:col>
      <xdr:colOff>419099</xdr:colOff>
      <xdr:row>2</xdr:row>
      <xdr:rowOff>184223</xdr:rowOff>
    </xdr:to>
    <xdr:sp>
      <xdr:nvSpPr>
        <xdr:cNvPr id="3" name="Rounded Rectangle 2"/>
        <xdr:cNvSpPr/>
      </xdr:nvSpPr>
      <xdr:spPr>
        <a:xfrm>
          <a:off x="133350" y="114300"/>
          <a:ext cx="3138805" cy="45085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18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  <a:latin typeface="Trebuchet MS" panose="020B0603020202020204" pitchFamily="34" charset="0"/>
            </a:rPr>
            <a:t>Text to columns</a:t>
          </a:r>
          <a:endParaRPr lang="en-US" sz="18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Trebuchet MS" panose="020B0603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266700</xdr:colOff>
      <xdr:row>0</xdr:row>
      <xdr:rowOff>142875</xdr:rowOff>
    </xdr:from>
    <xdr:to>
      <xdr:col>3</xdr:col>
      <xdr:colOff>180974</xdr:colOff>
      <xdr:row>3</xdr:row>
      <xdr:rowOff>22298</xdr:rowOff>
    </xdr:to>
    <xdr:sp>
      <xdr:nvSpPr>
        <xdr:cNvPr id="3" name="Rounded Rectangle 2"/>
        <xdr:cNvSpPr/>
      </xdr:nvSpPr>
      <xdr:spPr>
        <a:xfrm>
          <a:off x="266700" y="142875"/>
          <a:ext cx="3118485" cy="45085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18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  <a:latin typeface="Trebuchet MS" panose="020B0603020202020204" pitchFamily="34" charset="0"/>
            </a:rPr>
            <a:t>Remove Duplicates</a:t>
          </a:r>
          <a:endParaRPr lang="en-US" sz="18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Trebuchet MS" panose="020B0603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190501</xdr:colOff>
      <xdr:row>0</xdr:row>
      <xdr:rowOff>66675</xdr:rowOff>
    </xdr:from>
    <xdr:to>
      <xdr:col>4</xdr:col>
      <xdr:colOff>771526</xdr:colOff>
      <xdr:row>2</xdr:row>
      <xdr:rowOff>136598</xdr:rowOff>
    </xdr:to>
    <xdr:sp>
      <xdr:nvSpPr>
        <xdr:cNvPr id="2" name="Rounded Rectangle 1"/>
        <xdr:cNvSpPr/>
      </xdr:nvSpPr>
      <xdr:spPr>
        <a:xfrm>
          <a:off x="190500" y="66675"/>
          <a:ext cx="3719195" cy="45085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18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  <a:latin typeface="Trebuchet MS" panose="020B0603020202020204" pitchFamily="34" charset="0"/>
            </a:rPr>
            <a:t>IF Statement</a:t>
          </a:r>
          <a:endParaRPr lang="en-US" sz="18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Trebuchet MS" panose="020B0603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142875</xdr:colOff>
      <xdr:row>0</xdr:row>
      <xdr:rowOff>133350</xdr:rowOff>
    </xdr:from>
    <xdr:to>
      <xdr:col>0</xdr:col>
      <xdr:colOff>3371850</xdr:colOff>
      <xdr:row>2</xdr:row>
      <xdr:rowOff>130969</xdr:rowOff>
    </xdr:to>
    <xdr:sp>
      <xdr:nvSpPr>
        <xdr:cNvPr id="2" name="Rounded Rectangle 1"/>
        <xdr:cNvSpPr/>
      </xdr:nvSpPr>
      <xdr:spPr>
        <a:xfrm>
          <a:off x="142875" y="133350"/>
          <a:ext cx="3228975" cy="45466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18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  <a:latin typeface="Trebuchet MS" panose="020B0603020202020204" pitchFamily="34" charset="0"/>
            </a:rPr>
            <a:t>Conditional Formatting</a:t>
          </a:r>
          <a:endParaRPr lang="en-US" sz="18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Trebuchet MS" panose="020B0603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476250</xdr:colOff>
      <xdr:row>0</xdr:row>
      <xdr:rowOff>104775</xdr:rowOff>
    </xdr:from>
    <xdr:to>
      <xdr:col>1</xdr:col>
      <xdr:colOff>1019174</xdr:colOff>
      <xdr:row>2</xdr:row>
      <xdr:rowOff>174698</xdr:rowOff>
    </xdr:to>
    <xdr:sp>
      <xdr:nvSpPr>
        <xdr:cNvPr id="2" name="Rounded Rectangle 1"/>
        <xdr:cNvSpPr/>
      </xdr:nvSpPr>
      <xdr:spPr>
        <a:xfrm>
          <a:off x="476250" y="104775"/>
          <a:ext cx="2342515" cy="45085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18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  <a:latin typeface="Trebuchet MS" panose="020B0603020202020204" pitchFamily="34" charset="0"/>
            </a:rPr>
            <a:t>lookups</a:t>
          </a:r>
          <a:endParaRPr lang="en-US" sz="18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Trebuchet MS" panose="020B060302020202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476250</xdr:colOff>
      <xdr:row>0</xdr:row>
      <xdr:rowOff>104775</xdr:rowOff>
    </xdr:from>
    <xdr:to>
      <xdr:col>1</xdr:col>
      <xdr:colOff>1019174</xdr:colOff>
      <xdr:row>2</xdr:row>
      <xdr:rowOff>174698</xdr:rowOff>
    </xdr:to>
    <xdr:sp>
      <xdr:nvSpPr>
        <xdr:cNvPr id="2" name="Rounded Rectangle 1"/>
        <xdr:cNvSpPr/>
      </xdr:nvSpPr>
      <xdr:spPr>
        <a:xfrm>
          <a:off x="476250" y="104775"/>
          <a:ext cx="2342515" cy="45085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18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  <a:latin typeface="Trebuchet MS" panose="020B0603020202020204" pitchFamily="34" charset="0"/>
            </a:rPr>
            <a:t>lookups</a:t>
          </a:r>
          <a:endParaRPr lang="en-US" sz="18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Trebuchet MS" panose="020B060302020202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885825</xdr:colOff>
      <xdr:row>0</xdr:row>
      <xdr:rowOff>85726</xdr:rowOff>
    </xdr:from>
    <xdr:to>
      <xdr:col>0</xdr:col>
      <xdr:colOff>1571625</xdr:colOff>
      <xdr:row>0</xdr:row>
      <xdr:rowOff>771526</xdr:rowOff>
    </xdr:to>
    <xdr:sp>
      <xdr:nvSpPr>
        <xdr:cNvPr id="2" name="Rectangle: Rounded Corners 1"/>
        <xdr:cNvSpPr/>
      </xdr:nvSpPr>
      <xdr:spPr>
        <a:xfrm>
          <a:off x="885825" y="85725"/>
          <a:ext cx="685800" cy="6858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/>
            <a:t>1</a:t>
          </a:r>
          <a:endParaRPr lang="en-US" sz="3600"/>
        </a:p>
      </xdr:txBody>
    </xdr:sp>
    <xdr:clientData/>
  </xdr:twoCellAnchor>
  <xdr:twoCellAnchor>
    <xdr:from>
      <xdr:col>6</xdr:col>
      <xdr:colOff>266700</xdr:colOff>
      <xdr:row>0</xdr:row>
      <xdr:rowOff>85726</xdr:rowOff>
    </xdr:from>
    <xdr:to>
      <xdr:col>6</xdr:col>
      <xdr:colOff>952500</xdr:colOff>
      <xdr:row>0</xdr:row>
      <xdr:rowOff>771526</xdr:rowOff>
    </xdr:to>
    <xdr:sp>
      <xdr:nvSpPr>
        <xdr:cNvPr id="3" name="Rectangle: Rounded Corners 2"/>
        <xdr:cNvSpPr/>
      </xdr:nvSpPr>
      <xdr:spPr>
        <a:xfrm>
          <a:off x="8107680" y="85725"/>
          <a:ext cx="685800" cy="6858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/>
            <a:t>6</a:t>
          </a:r>
          <a:endParaRPr lang="en-US" sz="3600"/>
        </a:p>
      </xdr:txBody>
    </xdr:sp>
    <xdr:clientData/>
  </xdr:twoCellAnchor>
  <xdr:twoCellAnchor>
    <xdr:from>
      <xdr:col>5</xdr:col>
      <xdr:colOff>19050</xdr:colOff>
      <xdr:row>0</xdr:row>
      <xdr:rowOff>85726</xdr:rowOff>
    </xdr:from>
    <xdr:to>
      <xdr:col>5</xdr:col>
      <xdr:colOff>704850</xdr:colOff>
      <xdr:row>0</xdr:row>
      <xdr:rowOff>771526</xdr:rowOff>
    </xdr:to>
    <xdr:sp>
      <xdr:nvSpPr>
        <xdr:cNvPr id="4" name="Rectangle: Rounded Corners 3"/>
        <xdr:cNvSpPr/>
      </xdr:nvSpPr>
      <xdr:spPr>
        <a:xfrm>
          <a:off x="6864350" y="85725"/>
          <a:ext cx="685800" cy="6858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/>
            <a:t>5</a:t>
          </a:r>
          <a:endParaRPr lang="en-US" sz="3600"/>
        </a:p>
      </xdr:txBody>
    </xdr:sp>
    <xdr:clientData/>
  </xdr:twoCellAnchor>
  <xdr:twoCellAnchor>
    <xdr:from>
      <xdr:col>3</xdr:col>
      <xdr:colOff>190500</xdr:colOff>
      <xdr:row>0</xdr:row>
      <xdr:rowOff>85726</xdr:rowOff>
    </xdr:from>
    <xdr:to>
      <xdr:col>3</xdr:col>
      <xdr:colOff>876300</xdr:colOff>
      <xdr:row>0</xdr:row>
      <xdr:rowOff>771526</xdr:rowOff>
    </xdr:to>
    <xdr:sp>
      <xdr:nvSpPr>
        <xdr:cNvPr id="5" name="Rectangle: Rounded Corners 4"/>
        <xdr:cNvSpPr/>
      </xdr:nvSpPr>
      <xdr:spPr>
        <a:xfrm>
          <a:off x="5644515" y="85725"/>
          <a:ext cx="685800" cy="6858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/>
            <a:t>4</a:t>
          </a:r>
          <a:endParaRPr lang="en-US" sz="3600"/>
        </a:p>
      </xdr:txBody>
    </xdr:sp>
    <xdr:clientData/>
  </xdr:twoCellAnchor>
  <xdr:twoCellAnchor>
    <xdr:from>
      <xdr:col>2</xdr:col>
      <xdr:colOff>238125</xdr:colOff>
      <xdr:row>0</xdr:row>
      <xdr:rowOff>85726</xdr:rowOff>
    </xdr:from>
    <xdr:to>
      <xdr:col>2</xdr:col>
      <xdr:colOff>923925</xdr:colOff>
      <xdr:row>0</xdr:row>
      <xdr:rowOff>771526</xdr:rowOff>
    </xdr:to>
    <xdr:sp>
      <xdr:nvSpPr>
        <xdr:cNvPr id="6" name="Rectangle: Rounded Corners 5"/>
        <xdr:cNvSpPr/>
      </xdr:nvSpPr>
      <xdr:spPr>
        <a:xfrm>
          <a:off x="4594225" y="85725"/>
          <a:ext cx="685800" cy="6858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/>
            <a:t>3</a:t>
          </a:r>
          <a:endParaRPr lang="en-US" sz="3600"/>
        </a:p>
      </xdr:txBody>
    </xdr:sp>
    <xdr:clientData/>
  </xdr:twoCellAnchor>
  <xdr:twoCellAnchor>
    <xdr:from>
      <xdr:col>1</xdr:col>
      <xdr:colOff>523875</xdr:colOff>
      <xdr:row>0</xdr:row>
      <xdr:rowOff>85726</xdr:rowOff>
    </xdr:from>
    <xdr:to>
      <xdr:col>1</xdr:col>
      <xdr:colOff>1209675</xdr:colOff>
      <xdr:row>0</xdr:row>
      <xdr:rowOff>771526</xdr:rowOff>
    </xdr:to>
    <xdr:sp>
      <xdr:nvSpPr>
        <xdr:cNvPr id="7" name="Rectangle: Rounded Corners 6"/>
        <xdr:cNvSpPr/>
      </xdr:nvSpPr>
      <xdr:spPr>
        <a:xfrm>
          <a:off x="3146425" y="85725"/>
          <a:ext cx="685800" cy="6858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/>
            <a:t>2</a:t>
          </a:r>
          <a:endParaRPr 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E109"/>
  <sheetViews>
    <sheetView zoomScale="70" zoomScaleNormal="70" topLeftCell="A64" workbookViewId="0">
      <selection activeCell="D85" sqref="D85"/>
    </sheetView>
  </sheetViews>
  <sheetFormatPr defaultColWidth="8.8" defaultRowHeight="15" outlineLevelCol="4"/>
  <cols>
    <col min="1" max="1" width="15.1333333333333" customWidth="1"/>
    <col min="2" max="2" width="16.1333333333333" customWidth="1"/>
    <col min="3" max="3" width="37.2" customWidth="1"/>
    <col min="4" max="5" width="36" customWidth="1"/>
    <col min="7" max="7" width="15.1333333333333" customWidth="1"/>
  </cols>
  <sheetData>
    <row r="7" spans="1:5">
      <c r="A7" s="42" t="s">
        <v>0</v>
      </c>
      <c r="B7" s="3"/>
      <c r="C7" s="3"/>
      <c r="D7" s="3"/>
      <c r="E7" s="3"/>
    </row>
    <row r="8" spans="2:2">
      <c r="B8" s="43" t="s">
        <v>1</v>
      </c>
    </row>
    <row r="9" spans="2:4">
      <c r="B9" t="s">
        <v>0</v>
      </c>
      <c r="C9" t="str">
        <f>LEFT(C12,C13)</f>
        <v>NC</v>
      </c>
      <c r="D9" t="s">
        <v>2</v>
      </c>
    </row>
    <row r="10" spans="4:4">
      <c r="D10" t="s">
        <v>3</v>
      </c>
    </row>
    <row r="11" spans="2:2">
      <c r="B11" s="44" t="s">
        <v>4</v>
      </c>
    </row>
    <row r="12" spans="2:3">
      <c r="B12" t="s">
        <v>5</v>
      </c>
      <c r="C12" t="s">
        <v>6</v>
      </c>
    </row>
    <row r="13" spans="2:3">
      <c r="B13" t="s">
        <v>7</v>
      </c>
      <c r="C13" s="45">
        <v>2</v>
      </c>
    </row>
    <row r="15" spans="1:5">
      <c r="A15" s="3" t="s">
        <v>8</v>
      </c>
      <c r="B15" s="3"/>
      <c r="C15" s="3"/>
      <c r="D15" s="3"/>
      <c r="E15" s="3"/>
    </row>
    <row r="16" spans="2:2">
      <c r="B16" s="43" t="s">
        <v>1</v>
      </c>
    </row>
    <row r="17" spans="2:4">
      <c r="B17" t="s">
        <v>8</v>
      </c>
      <c r="C17" t="str">
        <f>RIGHT(C20,C21)</f>
        <v>25251</v>
      </c>
      <c r="D17" t="s">
        <v>3</v>
      </c>
    </row>
    <row r="19" spans="2:2">
      <c r="B19" s="44" t="s">
        <v>4</v>
      </c>
    </row>
    <row r="20" spans="2:3">
      <c r="B20" t="s">
        <v>5</v>
      </c>
      <c r="C20" t="s">
        <v>9</v>
      </c>
    </row>
    <row r="21" spans="2:3">
      <c r="B21" t="s">
        <v>7</v>
      </c>
      <c r="C21">
        <v>5</v>
      </c>
    </row>
    <row r="23" spans="1:5">
      <c r="A23" s="3" t="s">
        <v>10</v>
      </c>
      <c r="B23" s="3"/>
      <c r="C23" s="3"/>
      <c r="D23" s="3"/>
      <c r="E23" s="3"/>
    </row>
    <row r="24" spans="2:2">
      <c r="B24" s="43" t="s">
        <v>1</v>
      </c>
    </row>
    <row r="25" spans="2:4">
      <c r="B25" t="s">
        <v>10</v>
      </c>
      <c r="C25" t="str">
        <f>MID(C28,C29,C30)</f>
        <v>Columbus</v>
      </c>
      <c r="D25" t="s">
        <v>11</v>
      </c>
    </row>
    <row r="26" spans="3:4">
      <c r="C26" t="str">
        <f>MID(C28,12,6)</f>
        <v> Drive</v>
      </c>
      <c r="D26" t="s">
        <v>12</v>
      </c>
    </row>
    <row r="27" spans="2:4">
      <c r="B27" s="46" t="s">
        <v>4</v>
      </c>
      <c r="D27" t="s">
        <v>13</v>
      </c>
    </row>
    <row r="28" spans="2:3">
      <c r="B28" t="s">
        <v>5</v>
      </c>
      <c r="C28" t="s">
        <v>9</v>
      </c>
    </row>
    <row r="29" spans="2:3">
      <c r="B29" t="s">
        <v>14</v>
      </c>
      <c r="C29">
        <v>20</v>
      </c>
    </row>
    <row r="30" spans="2:3">
      <c r="B30" t="s">
        <v>15</v>
      </c>
      <c r="C30">
        <v>8</v>
      </c>
    </row>
    <row r="32" spans="1:5">
      <c r="A32" s="3" t="s">
        <v>16</v>
      </c>
      <c r="B32" s="3"/>
      <c r="C32" s="3"/>
      <c r="D32" s="3"/>
      <c r="E32" s="3"/>
    </row>
    <row r="33" spans="2:2">
      <c r="B33" s="43" t="s">
        <v>1</v>
      </c>
    </row>
    <row r="34" spans="2:4">
      <c r="B34" t="s">
        <v>16</v>
      </c>
      <c r="C34">
        <f>LEN(C37)</f>
        <v>5</v>
      </c>
      <c r="D34" t="s">
        <v>11</v>
      </c>
    </row>
    <row r="35" spans="3:3">
      <c r="C35">
        <f>LEN(D34)</f>
        <v>13</v>
      </c>
    </row>
    <row r="36" spans="2:2">
      <c r="B36" s="34" t="s">
        <v>4</v>
      </c>
    </row>
    <row r="37" spans="2:3">
      <c r="B37" t="s">
        <v>5</v>
      </c>
      <c r="C37" t="s">
        <v>17</v>
      </c>
    </row>
    <row r="39" spans="1:5">
      <c r="A39" s="3" t="s">
        <v>18</v>
      </c>
      <c r="B39" s="3"/>
      <c r="C39" s="3"/>
      <c r="D39" s="3"/>
      <c r="E39" s="3"/>
    </row>
    <row r="40" spans="2:2">
      <c r="B40" s="43" t="s">
        <v>1</v>
      </c>
    </row>
    <row r="41" spans="2:3">
      <c r="B41" t="s">
        <v>18</v>
      </c>
      <c r="C41">
        <f>FIND(C44,C45,1)</f>
        <v>13</v>
      </c>
    </row>
    <row r="42" spans="4:4">
      <c r="D42" t="s">
        <v>19</v>
      </c>
    </row>
    <row r="43" spans="2:2">
      <c r="B43" s="46" t="s">
        <v>4</v>
      </c>
    </row>
    <row r="44" spans="2:3">
      <c r="B44" t="s">
        <v>20</v>
      </c>
      <c r="C44" t="s">
        <v>21</v>
      </c>
    </row>
    <row r="45" spans="2:4">
      <c r="B45" t="s">
        <v>22</v>
      </c>
      <c r="C45" t="s">
        <v>9</v>
      </c>
      <c r="D45">
        <f>FIND(C44,C45,13)</f>
        <v>13</v>
      </c>
    </row>
    <row r="46" spans="2:3">
      <c r="B46" t="s">
        <v>14</v>
      </c>
      <c r="C46">
        <v>0</v>
      </c>
    </row>
    <row r="48" spans="1:5">
      <c r="A48" s="3" t="s">
        <v>23</v>
      </c>
      <c r="B48" s="3"/>
      <c r="C48" s="3"/>
      <c r="D48" s="3"/>
      <c r="E48" s="3"/>
    </row>
    <row r="49" spans="2:2">
      <c r="B49" s="43" t="s">
        <v>1</v>
      </c>
    </row>
    <row r="50" spans="2:3">
      <c r="B50" t="s">
        <v>23</v>
      </c>
      <c r="C50" t="str">
        <f>TRIM(C53)</f>
        <v>This Text Contains a LOT of extra space .</v>
      </c>
    </row>
    <row r="51" spans="4:4">
      <c r="D51" t="str">
        <f>TRIM(C53)</f>
        <v>This Text Contains a LOT of extra space .</v>
      </c>
    </row>
    <row r="52" spans="2:2">
      <c r="B52" s="44" t="s">
        <v>4</v>
      </c>
    </row>
    <row r="53" spans="2:3">
      <c r="B53" t="s">
        <v>5</v>
      </c>
      <c r="C53" t="s">
        <v>24</v>
      </c>
    </row>
    <row r="55" spans="1:5">
      <c r="A55" s="3" t="s">
        <v>25</v>
      </c>
      <c r="B55" s="3"/>
      <c r="C55" s="3"/>
      <c r="D55" s="3"/>
      <c r="E55" s="3"/>
    </row>
    <row r="56" spans="3:3">
      <c r="C56" t="s">
        <v>26</v>
      </c>
    </row>
    <row r="57" spans="2:2">
      <c r="B57" s="43" t="s">
        <v>1</v>
      </c>
    </row>
    <row r="58" spans="2:2">
      <c r="B58" t="s">
        <v>27</v>
      </c>
    </row>
    <row r="59" spans="2:4">
      <c r="B59" t="s">
        <v>28</v>
      </c>
      <c r="D59" t="str">
        <f>LOWER(C56)</f>
        <v>this sentence has all kinds of inconsistant formatting.</v>
      </c>
    </row>
    <row r="60" spans="2:4">
      <c r="B60" t="s">
        <v>29</v>
      </c>
      <c r="D60" t="str">
        <f>PROPER(C56)</f>
        <v>This Sentence Has All Kinds Of Inconsistant Formatting.</v>
      </c>
    </row>
    <row r="61" spans="4:4">
      <c r="D61" t="str">
        <f>UPPER(C56)</f>
        <v>THIS SENTENCE HAS ALL KINDS OF INCONSISTANT FORMATTING.</v>
      </c>
    </row>
    <row r="62" spans="2:2">
      <c r="B62" s="44" t="s">
        <v>4</v>
      </c>
    </row>
    <row r="63" spans="2:2">
      <c r="B63" t="s">
        <v>5</v>
      </c>
    </row>
    <row r="65" spans="1:5">
      <c r="A65" s="3" t="s">
        <v>30</v>
      </c>
      <c r="B65" s="3"/>
      <c r="C65" s="3"/>
      <c r="D65" s="3"/>
      <c r="E65" s="3"/>
    </row>
    <row r="66" spans="2:2">
      <c r="B66" s="43" t="s">
        <v>1</v>
      </c>
    </row>
    <row r="67" spans="2:4">
      <c r="B67" t="s">
        <v>30</v>
      </c>
      <c r="D67" t="str">
        <f>CONCATENATE(C71,C72,C73)</f>
        <v>2228 Viking DriveColumbusOH 25251</v>
      </c>
    </row>
    <row r="68" spans="2:4">
      <c r="B68" t="s">
        <v>31</v>
      </c>
      <c r="C68" t="str">
        <f>C71&amp;C72&amp;C73</f>
        <v>2228 Viking DriveColumbusOH 25251</v>
      </c>
      <c r="D68" t="str">
        <f>CONCATENATE(C71,C69,C72,C69,C73)</f>
        <v>2228 Viking Drive Columbus OH 25251</v>
      </c>
    </row>
    <row r="69" spans="3:3">
      <c r="C69" t="s">
        <v>32</v>
      </c>
    </row>
    <row r="70" spans="2:2">
      <c r="B70" s="44" t="s">
        <v>4</v>
      </c>
    </row>
    <row r="71" spans="2:3">
      <c r="B71" s="30" t="s">
        <v>33</v>
      </c>
      <c r="C71" t="s">
        <v>34</v>
      </c>
    </row>
    <row r="72" spans="2:3">
      <c r="B72" t="s">
        <v>35</v>
      </c>
      <c r="C72" t="s">
        <v>36</v>
      </c>
    </row>
    <row r="73" spans="2:3">
      <c r="B73" t="s">
        <v>37</v>
      </c>
      <c r="C73" t="s">
        <v>38</v>
      </c>
    </row>
    <row r="75" spans="1:5">
      <c r="A75" s="3" t="s">
        <v>39</v>
      </c>
      <c r="B75" s="3"/>
      <c r="C75" s="3"/>
      <c r="D75" s="3"/>
      <c r="E75" s="3"/>
    </row>
    <row r="76" spans="2:2">
      <c r="B76" s="43" t="s">
        <v>1</v>
      </c>
    </row>
    <row r="77" spans="2:4">
      <c r="B77" t="s">
        <v>39</v>
      </c>
      <c r="C77" t="str">
        <f>CLEAN(C80)</f>
        <v>This has a non-printable character.Another Line.</v>
      </c>
      <c r="D77" t="str">
        <f>CLEAN(C80)</f>
        <v>This has a non-printable character.Another Line.</v>
      </c>
    </row>
    <row r="79" spans="2:2">
      <c r="B79" s="44" t="s">
        <v>4</v>
      </c>
    </row>
    <row r="80" ht="60" spans="2:3">
      <c r="B80" t="s">
        <v>5</v>
      </c>
      <c r="C80" s="47" t="s">
        <v>40</v>
      </c>
    </row>
    <row r="82" spans="1:5">
      <c r="A82" s="3" t="s">
        <v>41</v>
      </c>
      <c r="B82" s="3"/>
      <c r="C82" s="3"/>
      <c r="D82" s="3"/>
      <c r="E82" s="3"/>
    </row>
    <row r="83" spans="2:2">
      <c r="B83" s="43" t="s">
        <v>1</v>
      </c>
    </row>
    <row r="84" spans="2:3">
      <c r="B84" t="s">
        <v>41</v>
      </c>
      <c r="C84" t="b">
        <f>EXACT(C87,C88)</f>
        <v>1</v>
      </c>
    </row>
    <row r="86" spans="2:4">
      <c r="B86" s="44" t="s">
        <v>4</v>
      </c>
      <c r="D86" t="b">
        <f>EXACT(C87,C88)</f>
        <v>1</v>
      </c>
    </row>
    <row r="87" spans="2:3">
      <c r="B87" t="s">
        <v>33</v>
      </c>
      <c r="C87" t="s">
        <v>41</v>
      </c>
    </row>
    <row r="88" spans="2:3">
      <c r="B88" t="s">
        <v>35</v>
      </c>
      <c r="C88" t="s">
        <v>41</v>
      </c>
    </row>
    <row r="90" spans="1:5">
      <c r="A90" s="3" t="s">
        <v>42</v>
      </c>
      <c r="B90" s="3"/>
      <c r="C90" s="3"/>
      <c r="D90" s="3"/>
      <c r="E90" s="3"/>
    </row>
    <row r="91" spans="2:2">
      <c r="B91" s="43" t="s">
        <v>1</v>
      </c>
    </row>
    <row r="92" spans="2:3">
      <c r="B92" t="s">
        <v>42</v>
      </c>
      <c r="C92">
        <f>VALUE(C95)</f>
        <v>537</v>
      </c>
    </row>
    <row r="93" spans="3:3">
      <c r="C93">
        <f>C95+0</f>
        <v>537</v>
      </c>
    </row>
    <row r="94" spans="2:2">
      <c r="B94" s="44" t="s">
        <v>4</v>
      </c>
    </row>
    <row r="95" spans="2:3">
      <c r="B95" t="s">
        <v>5</v>
      </c>
      <c r="C95" s="48" t="s">
        <v>43</v>
      </c>
    </row>
    <row r="104" spans="1:5">
      <c r="A104" s="3" t="s">
        <v>44</v>
      </c>
      <c r="B104" s="3"/>
      <c r="C104" s="3"/>
      <c r="D104" s="3"/>
      <c r="E104" s="3"/>
    </row>
    <row r="105" spans="2:2">
      <c r="B105" s="43" t="s">
        <v>1</v>
      </c>
    </row>
    <row r="106" spans="2:3">
      <c r="B106" t="s">
        <v>45</v>
      </c>
      <c r="C106" t="str">
        <f>BAHTTEXT(C109)</f>
        <v>ยี่สิบเก้าบาทสามสิบห้าสตางค์</v>
      </c>
    </row>
    <row r="108" spans="2:2">
      <c r="B108" s="44" t="s">
        <v>4</v>
      </c>
    </row>
    <row r="109" spans="2:3">
      <c r="B109" t="s">
        <v>7</v>
      </c>
      <c r="C109">
        <v>29.35</v>
      </c>
    </row>
  </sheetData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6"/>
  <sheetViews>
    <sheetView tabSelected="1" zoomScale="80" zoomScaleNormal="80" topLeftCell="A40" workbookViewId="0">
      <selection activeCell="A50" sqref="A50"/>
    </sheetView>
  </sheetViews>
  <sheetFormatPr defaultColWidth="8.8" defaultRowHeight="15" outlineLevelCol="3"/>
  <cols>
    <col min="1" max="2" width="42.8" customWidth="1"/>
    <col min="3" max="3" width="14" customWidth="1"/>
    <col min="4" max="4" width="24.9333333333333" customWidth="1"/>
    <col min="5" max="6" width="20.6666666666667" customWidth="1"/>
    <col min="7" max="7" width="12.8" customWidth="1"/>
  </cols>
  <sheetData>
    <row r="2" spans="3:3">
      <c r="C2" t="s">
        <v>46</v>
      </c>
    </row>
    <row r="3" spans="3:3">
      <c r="C3" t="s">
        <v>47</v>
      </c>
    </row>
    <row r="8" spans="1:1">
      <c r="A8" s="3" t="s">
        <v>46</v>
      </c>
    </row>
    <row r="10" spans="1:4">
      <c r="A10" t="s">
        <v>48</v>
      </c>
      <c r="B10" t="s">
        <v>49</v>
      </c>
      <c r="C10" t="s">
        <v>50</v>
      </c>
      <c r="D10">
        <v>15217</v>
      </c>
    </row>
    <row r="11" spans="1:4">
      <c r="A11" t="s">
        <v>51</v>
      </c>
      <c r="B11" t="s">
        <v>52</v>
      </c>
      <c r="C11" t="s">
        <v>53</v>
      </c>
      <c r="D11">
        <v>10011</v>
      </c>
    </row>
    <row r="12" spans="1:4">
      <c r="A12" t="s">
        <v>54</v>
      </c>
      <c r="B12" t="s">
        <v>55</v>
      </c>
      <c r="C12" t="s">
        <v>50</v>
      </c>
      <c r="D12">
        <v>19104</v>
      </c>
    </row>
    <row r="13" spans="1:4">
      <c r="A13" t="s">
        <v>56</v>
      </c>
      <c r="B13" t="s">
        <v>57</v>
      </c>
      <c r="C13" t="s">
        <v>58</v>
      </c>
      <c r="D13">
        <v>98101</v>
      </c>
    </row>
    <row r="14" spans="1:4">
      <c r="A14" t="s">
        <v>59</v>
      </c>
      <c r="B14" t="s">
        <v>60</v>
      </c>
      <c r="C14" t="s">
        <v>61</v>
      </c>
      <c r="D14">
        <v>20037</v>
      </c>
    </row>
    <row r="15" spans="1:4">
      <c r="A15" t="s">
        <v>62</v>
      </c>
      <c r="B15" t="s">
        <v>63</v>
      </c>
      <c r="C15" t="s">
        <v>64</v>
      </c>
      <c r="D15">
        <v>29401</v>
      </c>
    </row>
    <row r="16" spans="1:4">
      <c r="A16" t="s">
        <v>65</v>
      </c>
      <c r="B16" t="s">
        <v>66</v>
      </c>
      <c r="C16" t="s">
        <v>67</v>
      </c>
      <c r="D16">
        <v>50309</v>
      </c>
    </row>
    <row r="17" spans="1:4">
      <c r="A17" t="s">
        <v>68</v>
      </c>
      <c r="B17" t="s">
        <v>69</v>
      </c>
      <c r="C17" t="s">
        <v>70</v>
      </c>
      <c r="D17">
        <v>60614</v>
      </c>
    </row>
    <row r="18" spans="1:4">
      <c r="A18" t="s">
        <v>71</v>
      </c>
      <c r="B18" t="s">
        <v>72</v>
      </c>
      <c r="C18" t="s">
        <v>73</v>
      </c>
      <c r="D18">
        <v>21207</v>
      </c>
    </row>
    <row r="19" spans="1:4">
      <c r="A19" t="s">
        <v>74</v>
      </c>
      <c r="B19" t="s">
        <v>75</v>
      </c>
      <c r="C19" t="s">
        <v>76</v>
      </c>
      <c r="D19">
        <v>55403</v>
      </c>
    </row>
    <row r="20" spans="1:4">
      <c r="A20" t="s">
        <v>77</v>
      </c>
      <c r="B20" t="s">
        <v>78</v>
      </c>
      <c r="C20" t="s">
        <v>79</v>
      </c>
      <c r="D20">
        <v>70112</v>
      </c>
    </row>
    <row r="21" spans="1:4">
      <c r="A21" t="s">
        <v>80</v>
      </c>
      <c r="B21" t="s">
        <v>81</v>
      </c>
      <c r="C21" t="s">
        <v>82</v>
      </c>
      <c r="D21">
        <v>92264</v>
      </c>
    </row>
    <row r="22" spans="1:4">
      <c r="A22" t="s">
        <v>83</v>
      </c>
      <c r="B22" t="s">
        <v>84</v>
      </c>
      <c r="C22" t="s">
        <v>82</v>
      </c>
      <c r="D22">
        <v>94111</v>
      </c>
    </row>
    <row r="23" spans="1:4">
      <c r="A23" t="s">
        <v>85</v>
      </c>
      <c r="B23" t="s">
        <v>86</v>
      </c>
      <c r="C23" t="s">
        <v>87</v>
      </c>
      <c r="D23">
        <v>48103</v>
      </c>
    </row>
    <row r="24" spans="1:4">
      <c r="A24" t="s">
        <v>88</v>
      </c>
      <c r="B24" t="s">
        <v>89</v>
      </c>
      <c r="C24" t="s">
        <v>90</v>
      </c>
      <c r="D24">
        <v>80209</v>
      </c>
    </row>
    <row r="25" spans="1:4">
      <c r="A25" t="s">
        <v>91</v>
      </c>
      <c r="B25" t="s">
        <v>92</v>
      </c>
      <c r="C25" t="s">
        <v>82</v>
      </c>
      <c r="D25">
        <v>91504</v>
      </c>
    </row>
    <row r="48" spans="1:1">
      <c r="A48" s="3" t="s">
        <v>47</v>
      </c>
    </row>
    <row r="50" spans="1:4">
      <c r="A50" s="30" t="s">
        <v>93</v>
      </c>
      <c r="B50" t="s">
        <v>94</v>
      </c>
      <c r="C50" t="s">
        <v>95</v>
      </c>
      <c r="D50" t="s">
        <v>96</v>
      </c>
    </row>
    <row r="51" spans="1:4">
      <c r="A51" t="s">
        <v>48</v>
      </c>
      <c r="B51" t="s">
        <v>97</v>
      </c>
      <c r="C51" t="s">
        <v>50</v>
      </c>
      <c r="D51">
        <v>15217</v>
      </c>
    </row>
    <row r="52" spans="1:4">
      <c r="A52" t="s">
        <v>51</v>
      </c>
      <c r="B52" t="s">
        <v>98</v>
      </c>
      <c r="C52" t="s">
        <v>53</v>
      </c>
      <c r="D52">
        <v>10011</v>
      </c>
    </row>
    <row r="53" spans="1:4">
      <c r="A53" t="s">
        <v>54</v>
      </c>
      <c r="B53" t="s">
        <v>99</v>
      </c>
      <c r="C53" t="s">
        <v>50</v>
      </c>
      <c r="D53">
        <v>19104</v>
      </c>
    </row>
    <row r="54" spans="1:4">
      <c r="A54" t="s">
        <v>56</v>
      </c>
      <c r="B54" t="s">
        <v>100</v>
      </c>
      <c r="C54" t="s">
        <v>58</v>
      </c>
      <c r="D54">
        <v>98101</v>
      </c>
    </row>
    <row r="55" spans="1:4">
      <c r="A55" t="s">
        <v>59</v>
      </c>
      <c r="B55" t="s">
        <v>101</v>
      </c>
      <c r="C55" t="s">
        <v>61</v>
      </c>
      <c r="D55">
        <v>20037</v>
      </c>
    </row>
    <row r="56" spans="1:4">
      <c r="A56" t="s">
        <v>62</v>
      </c>
      <c r="B56" t="s">
        <v>102</v>
      </c>
      <c r="C56" t="s">
        <v>64</v>
      </c>
      <c r="D56">
        <v>29401</v>
      </c>
    </row>
    <row r="57" spans="1:4">
      <c r="A57" t="s">
        <v>65</v>
      </c>
      <c r="B57" t="s">
        <v>103</v>
      </c>
      <c r="C57" t="s">
        <v>67</v>
      </c>
      <c r="D57">
        <v>50309</v>
      </c>
    </row>
    <row r="58" spans="1:4">
      <c r="A58" t="s">
        <v>68</v>
      </c>
      <c r="B58" t="s">
        <v>104</v>
      </c>
      <c r="C58" t="s">
        <v>70</v>
      </c>
      <c r="D58">
        <v>60614</v>
      </c>
    </row>
    <row r="59" spans="1:4">
      <c r="A59" t="s">
        <v>71</v>
      </c>
      <c r="B59" t="s">
        <v>105</v>
      </c>
      <c r="C59" t="s">
        <v>73</v>
      </c>
      <c r="D59">
        <v>21207</v>
      </c>
    </row>
    <row r="60" spans="1:4">
      <c r="A60" t="s">
        <v>74</v>
      </c>
      <c r="B60" t="s">
        <v>106</v>
      </c>
      <c r="C60" t="s">
        <v>76</v>
      </c>
      <c r="D60">
        <v>55403</v>
      </c>
    </row>
    <row r="61" spans="1:4">
      <c r="A61" t="s">
        <v>77</v>
      </c>
      <c r="B61" t="s">
        <v>107</v>
      </c>
      <c r="C61" t="s">
        <v>79</v>
      </c>
      <c r="D61">
        <v>70112</v>
      </c>
    </row>
    <row r="62" spans="1:4">
      <c r="A62" t="s">
        <v>80</v>
      </c>
      <c r="B62" t="s">
        <v>108</v>
      </c>
      <c r="C62" t="s">
        <v>82</v>
      </c>
      <c r="D62">
        <v>92264</v>
      </c>
    </row>
    <row r="63" spans="1:4">
      <c r="A63" t="s">
        <v>83</v>
      </c>
      <c r="B63" t="s">
        <v>109</v>
      </c>
      <c r="C63" t="s">
        <v>82</v>
      </c>
      <c r="D63">
        <v>94111</v>
      </c>
    </row>
    <row r="64" spans="1:4">
      <c r="A64" t="s">
        <v>85</v>
      </c>
      <c r="B64" t="s">
        <v>110</v>
      </c>
      <c r="C64" t="s">
        <v>87</v>
      </c>
      <c r="D64">
        <v>48103</v>
      </c>
    </row>
    <row r="65" spans="1:4">
      <c r="A65" t="s">
        <v>88</v>
      </c>
      <c r="B65" t="s">
        <v>111</v>
      </c>
      <c r="C65" t="s">
        <v>90</v>
      </c>
      <c r="D65">
        <v>80209</v>
      </c>
    </row>
    <row r="66" spans="1:4">
      <c r="A66" t="s">
        <v>91</v>
      </c>
      <c r="B66" t="s">
        <v>112</v>
      </c>
      <c r="C66" t="s">
        <v>82</v>
      </c>
      <c r="D66">
        <v>91504</v>
      </c>
    </row>
  </sheetData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B59"/>
  <sheetViews>
    <sheetView zoomScale="120" zoomScaleNormal="120" topLeftCell="A9" workbookViewId="0">
      <selection activeCell="B6" sqref="B6"/>
    </sheetView>
  </sheetViews>
  <sheetFormatPr defaultColWidth="8.8" defaultRowHeight="15" outlineLevelCol="1"/>
  <cols>
    <col min="1" max="1" width="21.8" customWidth="1"/>
    <col min="2" max="2" width="17.4666666666667" customWidth="1"/>
    <col min="6" max="6" width="20" customWidth="1"/>
    <col min="10" max="10" width="17.8" customWidth="1"/>
    <col min="11" max="11" width="14.3333333333333" customWidth="1"/>
  </cols>
  <sheetData>
    <row r="10" spans="1:2">
      <c r="A10" s="40" t="s">
        <v>113</v>
      </c>
      <c r="B10" s="40" t="s">
        <v>114</v>
      </c>
    </row>
    <row r="11" spans="1:2">
      <c r="A11" s="41" t="s">
        <v>115</v>
      </c>
      <c r="B11" s="41" t="s">
        <v>116</v>
      </c>
    </row>
    <row r="12" spans="1:2">
      <c r="A12" s="41" t="s">
        <v>115</v>
      </c>
      <c r="B12" s="41" t="s">
        <v>116</v>
      </c>
    </row>
    <row r="13" spans="1:2">
      <c r="A13" s="41" t="s">
        <v>115</v>
      </c>
      <c r="B13" s="41" t="s">
        <v>116</v>
      </c>
    </row>
    <row r="14" spans="1:2">
      <c r="A14" s="41" t="s">
        <v>117</v>
      </c>
      <c r="B14" s="41" t="s">
        <v>118</v>
      </c>
    </row>
    <row r="15" spans="1:2">
      <c r="A15" s="41" t="s">
        <v>117</v>
      </c>
      <c r="B15" s="41" t="s">
        <v>119</v>
      </c>
    </row>
    <row r="16" spans="1:2">
      <c r="A16" s="41" t="s">
        <v>117</v>
      </c>
      <c r="B16" s="41" t="s">
        <v>119</v>
      </c>
    </row>
    <row r="17" spans="1:2">
      <c r="A17" s="41" t="s">
        <v>117</v>
      </c>
      <c r="B17" s="41" t="s">
        <v>119</v>
      </c>
    </row>
    <row r="18" spans="1:2">
      <c r="A18" s="41" t="s">
        <v>117</v>
      </c>
      <c r="B18" s="41" t="s">
        <v>119</v>
      </c>
    </row>
    <row r="19" spans="1:2">
      <c r="A19" s="41" t="s">
        <v>117</v>
      </c>
      <c r="B19" s="41" t="s">
        <v>120</v>
      </c>
    </row>
    <row r="20" spans="1:2">
      <c r="A20" s="41" t="s">
        <v>117</v>
      </c>
      <c r="B20" s="41" t="s">
        <v>121</v>
      </c>
    </row>
    <row r="21" spans="1:2">
      <c r="A21" s="41" t="s">
        <v>117</v>
      </c>
      <c r="B21" s="41" t="s">
        <v>121</v>
      </c>
    </row>
    <row r="22" spans="1:2">
      <c r="A22" s="41" t="s">
        <v>117</v>
      </c>
      <c r="B22" s="41" t="s">
        <v>122</v>
      </c>
    </row>
    <row r="23" spans="1:2">
      <c r="A23" s="41" t="s">
        <v>117</v>
      </c>
      <c r="B23" s="41" t="s">
        <v>120</v>
      </c>
    </row>
    <row r="24" spans="1:2">
      <c r="A24" s="41" t="s">
        <v>123</v>
      </c>
      <c r="B24" s="41" t="s">
        <v>124</v>
      </c>
    </row>
    <row r="25" spans="1:2">
      <c r="A25" s="41" t="s">
        <v>123</v>
      </c>
      <c r="B25" s="41" t="s">
        <v>125</v>
      </c>
    </row>
    <row r="26" spans="1:2">
      <c r="A26" s="41" t="s">
        <v>123</v>
      </c>
      <c r="B26" s="41" t="s">
        <v>122</v>
      </c>
    </row>
    <row r="27" spans="1:2">
      <c r="A27" s="41" t="s">
        <v>123</v>
      </c>
      <c r="B27" s="41" t="s">
        <v>122</v>
      </c>
    </row>
    <row r="28" spans="1:2">
      <c r="A28" s="41" t="s">
        <v>123</v>
      </c>
      <c r="B28" s="41" t="s">
        <v>122</v>
      </c>
    </row>
    <row r="29" spans="1:2">
      <c r="A29" s="41" t="s">
        <v>123</v>
      </c>
      <c r="B29" s="41" t="s">
        <v>122</v>
      </c>
    </row>
    <row r="30" spans="1:2">
      <c r="A30" s="41" t="s">
        <v>123</v>
      </c>
      <c r="B30" s="41" t="s">
        <v>122</v>
      </c>
    </row>
    <row r="31" spans="1:2">
      <c r="A31" s="41" t="s">
        <v>126</v>
      </c>
      <c r="B31" s="41" t="s">
        <v>116</v>
      </c>
    </row>
    <row r="32" spans="1:2">
      <c r="A32" s="41" t="s">
        <v>127</v>
      </c>
      <c r="B32" s="41" t="s">
        <v>128</v>
      </c>
    </row>
    <row r="33" spans="1:2">
      <c r="A33" s="41" t="s">
        <v>127</v>
      </c>
      <c r="B33" s="41" t="s">
        <v>129</v>
      </c>
    </row>
    <row r="34" spans="1:2">
      <c r="A34" s="41" t="s">
        <v>127</v>
      </c>
      <c r="B34" s="41" t="s">
        <v>129</v>
      </c>
    </row>
    <row r="35" spans="1:2">
      <c r="A35" s="41" t="s">
        <v>127</v>
      </c>
      <c r="B35" s="41" t="s">
        <v>130</v>
      </c>
    </row>
    <row r="36" spans="1:2">
      <c r="A36" s="41" t="s">
        <v>127</v>
      </c>
      <c r="B36" s="41" t="s">
        <v>125</v>
      </c>
    </row>
    <row r="37" spans="1:2">
      <c r="A37" s="41" t="s">
        <v>127</v>
      </c>
      <c r="B37" s="41" t="s">
        <v>128</v>
      </c>
    </row>
    <row r="38" spans="1:2">
      <c r="A38" s="41" t="s">
        <v>127</v>
      </c>
      <c r="B38" s="41" t="s">
        <v>128</v>
      </c>
    </row>
    <row r="39" spans="1:2">
      <c r="A39" s="41" t="s">
        <v>127</v>
      </c>
      <c r="B39" s="41" t="s">
        <v>130</v>
      </c>
    </row>
    <row r="40" spans="1:2">
      <c r="A40" s="41" t="s">
        <v>127</v>
      </c>
      <c r="B40" s="41" t="s">
        <v>125</v>
      </c>
    </row>
    <row r="41" spans="1:2">
      <c r="A41" s="41" t="s">
        <v>127</v>
      </c>
      <c r="B41" s="41" t="s">
        <v>125</v>
      </c>
    </row>
    <row r="42" spans="1:2">
      <c r="A42" s="41" t="s">
        <v>131</v>
      </c>
      <c r="B42" s="41" t="s">
        <v>125</v>
      </c>
    </row>
    <row r="43" spans="1:2">
      <c r="A43" s="41" t="s">
        <v>131</v>
      </c>
      <c r="B43" s="41" t="s">
        <v>125</v>
      </c>
    </row>
    <row r="44" spans="1:2">
      <c r="A44" s="41" t="s">
        <v>131</v>
      </c>
      <c r="B44" s="41" t="s">
        <v>116</v>
      </c>
    </row>
    <row r="45" spans="1:2">
      <c r="A45" s="41" t="s">
        <v>131</v>
      </c>
      <c r="B45" s="41" t="s">
        <v>116</v>
      </c>
    </row>
    <row r="46" spans="1:2">
      <c r="A46" s="41" t="s">
        <v>132</v>
      </c>
      <c r="B46" s="41" t="s">
        <v>124</v>
      </c>
    </row>
    <row r="47" spans="1:2">
      <c r="A47" s="41" t="s">
        <v>132</v>
      </c>
      <c r="B47" s="41" t="s">
        <v>124</v>
      </c>
    </row>
    <row r="48" spans="1:2">
      <c r="A48" s="41" t="s">
        <v>132</v>
      </c>
      <c r="B48" s="41" t="s">
        <v>130</v>
      </c>
    </row>
    <row r="49" spans="1:2">
      <c r="A49" s="41" t="s">
        <v>132</v>
      </c>
      <c r="B49" s="41" t="s">
        <v>130</v>
      </c>
    </row>
    <row r="50" spans="1:2">
      <c r="A50" s="41" t="s">
        <v>132</v>
      </c>
      <c r="B50" s="41" t="s">
        <v>130</v>
      </c>
    </row>
    <row r="51" spans="1:2">
      <c r="A51" s="41" t="s">
        <v>132</v>
      </c>
      <c r="B51" s="41" t="s">
        <v>118</v>
      </c>
    </row>
    <row r="52" spans="1:2">
      <c r="A52" s="41" t="s">
        <v>132</v>
      </c>
      <c r="B52" s="41" t="s">
        <v>133</v>
      </c>
    </row>
    <row r="53" spans="1:2">
      <c r="A53" s="41" t="s">
        <v>132</v>
      </c>
      <c r="B53" s="41" t="s">
        <v>118</v>
      </c>
    </row>
    <row r="54" spans="1:2">
      <c r="A54" s="41" t="s">
        <v>132</v>
      </c>
      <c r="B54" s="41" t="s">
        <v>134</v>
      </c>
    </row>
    <row r="55" spans="1:2">
      <c r="A55" s="41" t="s">
        <v>132</v>
      </c>
      <c r="B55" s="41" t="s">
        <v>130</v>
      </c>
    </row>
    <row r="56" spans="1:2">
      <c r="A56" s="41" t="s">
        <v>132</v>
      </c>
      <c r="B56" s="41" t="s">
        <v>118</v>
      </c>
    </row>
    <row r="57" spans="1:2">
      <c r="A57" s="41" t="s">
        <v>135</v>
      </c>
      <c r="B57" s="41" t="s">
        <v>136</v>
      </c>
    </row>
    <row r="58" spans="1:2">
      <c r="A58" s="41" t="s">
        <v>135</v>
      </c>
      <c r="B58" s="41" t="s">
        <v>136</v>
      </c>
    </row>
    <row r="59" spans="1:2">
      <c r="A59" s="41" t="s">
        <v>135</v>
      </c>
      <c r="B59" s="41" t="s">
        <v>136</v>
      </c>
    </row>
  </sheetData>
  <pageMargins left="0.7" right="0.7" top="0.75" bottom="0.75" header="0.3" footer="0.3"/>
  <pageSetup paperSize="1" orientation="portrait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U49"/>
  <sheetViews>
    <sheetView zoomScale="170" zoomScaleNormal="170" topLeftCell="A69" workbookViewId="0">
      <selection activeCell="C5" sqref="C5"/>
    </sheetView>
  </sheetViews>
  <sheetFormatPr defaultColWidth="8.8" defaultRowHeight="15"/>
  <cols>
    <col min="1" max="1" width="13.3333333333333" customWidth="1"/>
    <col min="2" max="2" width="12.5333333333333" customWidth="1"/>
    <col min="3" max="3" width="12.4" customWidth="1"/>
    <col min="5" max="6" width="15.8666666666667" customWidth="1"/>
    <col min="7" max="7" width="11.8666666666667" customWidth="1"/>
    <col min="9" max="9" width="12.3333333333333" customWidth="1"/>
    <col min="10" max="10" width="13.0666666666667" customWidth="1"/>
  </cols>
  <sheetData>
    <row r="7" spans="1:1">
      <c r="A7" s="3" t="s">
        <v>137</v>
      </c>
    </row>
    <row r="9" spans="1:21">
      <c r="A9" s="30" t="s">
        <v>138</v>
      </c>
      <c r="B9" s="31" t="s">
        <v>139</v>
      </c>
      <c r="C9" s="31" t="s">
        <v>140</v>
      </c>
      <c r="E9" s="31" t="s">
        <v>139</v>
      </c>
      <c r="F9" s="31" t="s">
        <v>140</v>
      </c>
      <c r="G9" s="31"/>
      <c r="H9" s="31" t="s">
        <v>141</v>
      </c>
      <c r="I9" s="31" t="s">
        <v>142</v>
      </c>
      <c r="J9" s="30" t="s">
        <v>143</v>
      </c>
      <c r="K9" s="30" t="s">
        <v>144</v>
      </c>
      <c r="Q9" s="30"/>
      <c r="R9" s="30"/>
      <c r="S9" s="30"/>
      <c r="T9" s="30"/>
      <c r="U9" s="30"/>
    </row>
    <row r="10" spans="1:7">
      <c r="A10" t="s">
        <v>145</v>
      </c>
      <c r="B10" s="22" t="s">
        <v>146</v>
      </c>
      <c r="C10" s="22" t="s">
        <v>147</v>
      </c>
      <c r="E10" s="22"/>
      <c r="F10" s="22"/>
      <c r="G10" s="22"/>
    </row>
    <row r="11" spans="1:7">
      <c r="A11" t="s">
        <v>148</v>
      </c>
      <c r="B11" s="22" t="s">
        <v>146</v>
      </c>
      <c r="C11" s="22" t="s">
        <v>149</v>
      </c>
      <c r="E11" s="22"/>
      <c r="F11" s="22"/>
      <c r="G11" s="22"/>
    </row>
    <row r="12" spans="1:7">
      <c r="A12" t="s">
        <v>150</v>
      </c>
      <c r="B12" s="22" t="s">
        <v>151</v>
      </c>
      <c r="C12" s="22" t="s">
        <v>147</v>
      </c>
      <c r="E12" s="22"/>
      <c r="F12" s="22"/>
      <c r="G12" s="22"/>
    </row>
    <row r="13" spans="1:7">
      <c r="A13" t="s">
        <v>152</v>
      </c>
      <c r="B13" s="22" t="s">
        <v>146</v>
      </c>
      <c r="C13" s="22" t="s">
        <v>149</v>
      </c>
      <c r="E13" s="22"/>
      <c r="F13" s="22"/>
      <c r="G13" s="22"/>
    </row>
    <row r="14" spans="1:7">
      <c r="A14" t="s">
        <v>153</v>
      </c>
      <c r="B14" s="22" t="s">
        <v>146</v>
      </c>
      <c r="C14" s="22" t="s">
        <v>149</v>
      </c>
      <c r="E14" s="22"/>
      <c r="F14" s="22"/>
      <c r="G14" s="22"/>
    </row>
    <row r="15" spans="1:7">
      <c r="A15" t="s">
        <v>154</v>
      </c>
      <c r="B15" s="22" t="s">
        <v>151</v>
      </c>
      <c r="C15" s="22" t="s">
        <v>149</v>
      </c>
      <c r="E15" s="22"/>
      <c r="F15" s="22"/>
      <c r="G15" s="22"/>
    </row>
    <row r="16" spans="1:7">
      <c r="A16" t="s">
        <v>155</v>
      </c>
      <c r="B16" s="22" t="s">
        <v>146</v>
      </c>
      <c r="C16" s="22" t="s">
        <v>149</v>
      </c>
      <c r="E16" s="22"/>
      <c r="F16" s="22"/>
      <c r="G16" s="22"/>
    </row>
    <row r="17" spans="1:7">
      <c r="A17" t="s">
        <v>156</v>
      </c>
      <c r="B17" s="22" t="s">
        <v>151</v>
      </c>
      <c r="C17" s="22" t="s">
        <v>147</v>
      </c>
      <c r="E17" s="22"/>
      <c r="F17" s="22"/>
      <c r="G17" s="22"/>
    </row>
    <row r="18" spans="1:7">
      <c r="A18" t="s">
        <v>157</v>
      </c>
      <c r="B18" s="22" t="s">
        <v>151</v>
      </c>
      <c r="C18" s="22" t="s">
        <v>147</v>
      </c>
      <c r="E18" s="22"/>
      <c r="F18" s="22"/>
      <c r="G18" s="22"/>
    </row>
    <row r="19" spans="1:7">
      <c r="A19" t="s">
        <v>158</v>
      </c>
      <c r="B19" s="22" t="s">
        <v>151</v>
      </c>
      <c r="C19" s="22" t="s">
        <v>149</v>
      </c>
      <c r="E19" s="22"/>
      <c r="F19" s="22"/>
      <c r="G19" s="22"/>
    </row>
    <row r="25" spans="1:1">
      <c r="A25" s="3" t="s">
        <v>159</v>
      </c>
    </row>
    <row r="27" spans="2:2">
      <c r="B27" t="s">
        <v>160</v>
      </c>
    </row>
    <row r="29" spans="2:4">
      <c r="B29" s="32" t="s">
        <v>159</v>
      </c>
      <c r="C29" s="32"/>
      <c r="D29" s="33"/>
    </row>
    <row r="30" spans="2:4">
      <c r="B30" s="32" t="s">
        <v>161</v>
      </c>
      <c r="C30" s="34" t="s">
        <v>162</v>
      </c>
      <c r="D30" s="32" t="s">
        <v>159</v>
      </c>
    </row>
    <row r="31" spans="2:4">
      <c r="B31" s="35" t="b">
        <v>1</v>
      </c>
      <c r="C31" s="36" t="b">
        <v>1</v>
      </c>
      <c r="D31" s="37" t="b">
        <f>AND(B31,C31)</f>
        <v>1</v>
      </c>
    </row>
    <row r="32" spans="2:4">
      <c r="B32" s="35" t="b">
        <v>1</v>
      </c>
      <c r="C32" s="36" t="b">
        <v>0</v>
      </c>
      <c r="D32" s="38" t="b">
        <f>AND(B32,C32)</f>
        <v>0</v>
      </c>
    </row>
    <row r="33" spans="2:4">
      <c r="B33" s="35" t="b">
        <v>0</v>
      </c>
      <c r="C33" s="36" t="b">
        <v>1</v>
      </c>
      <c r="D33" s="38" t="b">
        <f>AND(B33,C33)</f>
        <v>0</v>
      </c>
    </row>
    <row r="34" ht="15.75" spans="2:4">
      <c r="B34" s="35" t="b">
        <v>0</v>
      </c>
      <c r="C34" s="36" t="b">
        <v>0</v>
      </c>
      <c r="D34" s="39" t="b">
        <f>AND(B34,C34)</f>
        <v>0</v>
      </c>
    </row>
    <row r="40" spans="1:1">
      <c r="A40" s="3" t="s">
        <v>163</v>
      </c>
    </row>
    <row r="42" spans="2:2">
      <c r="B42" t="s">
        <v>164</v>
      </c>
    </row>
    <row r="44" spans="2:4">
      <c r="B44" s="32" t="s">
        <v>163</v>
      </c>
      <c r="C44" s="32"/>
      <c r="D44" s="33"/>
    </row>
    <row r="45" spans="2:4">
      <c r="B45" s="32" t="s">
        <v>161</v>
      </c>
      <c r="C45" s="34" t="s">
        <v>162</v>
      </c>
      <c r="D45" s="32" t="s">
        <v>163</v>
      </c>
    </row>
    <row r="46" spans="2:4">
      <c r="B46" s="35" t="b">
        <v>1</v>
      </c>
      <c r="C46" s="36" t="b">
        <v>1</v>
      </c>
      <c r="D46" s="37" t="b">
        <f>OR(B46,C46)</f>
        <v>1</v>
      </c>
    </row>
    <row r="47" spans="2:4">
      <c r="B47" s="35" t="b">
        <v>1</v>
      </c>
      <c r="C47" s="36" t="b">
        <v>0</v>
      </c>
      <c r="D47" s="38" t="b">
        <f>OR(B47,C47)</f>
        <v>1</v>
      </c>
    </row>
    <row r="48" spans="2:4">
      <c r="B48" s="35" t="b">
        <v>0</v>
      </c>
      <c r="C48" s="36" t="b">
        <v>1</v>
      </c>
      <c r="D48" s="38" t="b">
        <f>OR(B48,C48)</f>
        <v>1</v>
      </c>
    </row>
    <row r="49" ht="15.75" spans="2:4">
      <c r="B49" s="35" t="b">
        <v>0</v>
      </c>
      <c r="C49" s="36" t="b">
        <v>0</v>
      </c>
      <c r="D49" s="39" t="b">
        <f>OR(B49,C49)</f>
        <v>0</v>
      </c>
    </row>
  </sheetData>
  <mergeCells count="2">
    <mergeCell ref="B29:D29"/>
    <mergeCell ref="B44:D44"/>
  </mergeCells>
  <conditionalFormatting sqref="B10:C19">
    <cfRule type="cellIs" dxfId="0" priority="1" operator="equal">
      <formula>"yes"</formula>
    </cfRule>
    <cfRule type="cellIs" dxfId="1" priority="2" operator="equal">
      <formula>"no"</formula>
    </cfRule>
    <cfRule type="cellIs" dxfId="1" priority="3" operator="equal">
      <formula>FALSE</formula>
    </cfRule>
    <cfRule type="cellIs" dxfId="0" priority="4" operator="equal">
      <formula>TRUE</formula>
    </cfRule>
  </conditionalFormatting>
  <conditionalFormatting sqref="B31:D34">
    <cfRule type="cellIs" dxfId="2" priority="7" operator="equal">
      <formula>FALSE</formula>
    </cfRule>
    <cfRule type="cellIs" dxfId="3" priority="8" operator="equal">
      <formula>TRUE</formula>
    </cfRule>
  </conditionalFormatting>
  <conditionalFormatting sqref="B46:D49">
    <cfRule type="cellIs" dxfId="2" priority="5" operator="equal">
      <formula>FALSE</formula>
    </cfRule>
    <cfRule type="cellIs" dxfId="3" priority="6" operator="equal">
      <formula>TRUE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zoomScale="80" zoomScaleNormal="80" zoomScalePageLayoutView="80" workbookViewId="0">
      <pane xSplit="1" ySplit="4" topLeftCell="B5" activePane="bottomRight" state="frozen"/>
      <selection/>
      <selection pane="topRight"/>
      <selection pane="bottomLeft"/>
      <selection pane="bottomRight" activeCell="D10" sqref="D10"/>
    </sheetView>
  </sheetViews>
  <sheetFormatPr defaultColWidth="10.1333333333333" defaultRowHeight="18" outlineLevelCol="5"/>
  <cols>
    <col min="1" max="1" width="53.7333333333333" style="23" customWidth="1"/>
    <col min="2" max="2" width="27.1333333333333" style="23" customWidth="1"/>
    <col min="3" max="3" width="24.4" style="23" customWidth="1"/>
    <col min="4" max="4" width="24.8666666666667" style="23" customWidth="1"/>
    <col min="5" max="5" width="28" style="23" customWidth="1"/>
    <col min="6" max="6" width="24.8666666666667" style="23" customWidth="1"/>
    <col min="7" max="16384" width="10.1333333333333" style="23"/>
  </cols>
  <sheetData>
    <row r="1" customHeight="1" spans="2:2">
      <c r="B1" s="24" t="s">
        <v>165</v>
      </c>
    </row>
    <row r="2" customHeight="1" spans="2:2">
      <c r="B2" s="24" t="s">
        <v>166</v>
      </c>
    </row>
    <row r="3" customHeight="1" spans="2:2">
      <c r="B3" s="24" t="s">
        <v>167</v>
      </c>
    </row>
    <row r="4" customHeight="1" spans="2:2">
      <c r="B4" s="24" t="s">
        <v>168</v>
      </c>
    </row>
    <row r="5" customHeight="1" spans="2:5">
      <c r="B5" s="25" t="s">
        <v>165</v>
      </c>
      <c r="C5" s="25" t="s">
        <v>166</v>
      </c>
      <c r="D5" s="25" t="s">
        <v>167</v>
      </c>
      <c r="E5" s="26" t="s">
        <v>168</v>
      </c>
    </row>
    <row r="6" customHeight="1" spans="5:5">
      <c r="E6" s="27"/>
    </row>
    <row r="7" spans="1:5">
      <c r="A7" s="28" t="s">
        <v>169</v>
      </c>
      <c r="B7" s="28" t="s">
        <v>170</v>
      </c>
      <c r="C7" s="28" t="s">
        <v>171</v>
      </c>
      <c r="E7" s="27"/>
    </row>
    <row r="8" spans="1:6">
      <c r="A8" s="29" t="s">
        <v>172</v>
      </c>
      <c r="B8">
        <v>150</v>
      </c>
      <c r="C8">
        <v>160</v>
      </c>
      <c r="D8">
        <v>160</v>
      </c>
      <c r="E8" s="22">
        <v>160</v>
      </c>
      <c r="F8"/>
    </row>
    <row r="9" spans="1:6">
      <c r="A9" s="29" t="s">
        <v>173</v>
      </c>
      <c r="B9">
        <v>100</v>
      </c>
      <c r="C9">
        <v>120</v>
      </c>
      <c r="D9">
        <v>120</v>
      </c>
      <c r="E9" s="22">
        <v>120</v>
      </c>
      <c r="F9"/>
    </row>
    <row r="10" spans="1:6">
      <c r="A10" s="29" t="s">
        <v>174</v>
      </c>
      <c r="B10">
        <v>125</v>
      </c>
      <c r="C10">
        <v>130</v>
      </c>
      <c r="D10">
        <v>130</v>
      </c>
      <c r="E10" s="22">
        <v>130</v>
      </c>
      <c r="F10"/>
    </row>
    <row r="11" spans="1:6">
      <c r="A11" s="29" t="s">
        <v>175</v>
      </c>
      <c r="B11">
        <v>175</v>
      </c>
      <c r="C11">
        <v>180</v>
      </c>
      <c r="D11">
        <v>180</v>
      </c>
      <c r="E11" s="22">
        <v>180</v>
      </c>
      <c r="F11"/>
    </row>
    <row r="12" spans="1:6">
      <c r="A12" s="29" t="s">
        <v>176</v>
      </c>
      <c r="B12">
        <v>50</v>
      </c>
      <c r="C12">
        <v>70</v>
      </c>
      <c r="D12">
        <v>70</v>
      </c>
      <c r="E12" s="22">
        <v>70</v>
      </c>
      <c r="F12"/>
    </row>
    <row r="13" spans="1:6">
      <c r="A13" s="29" t="s">
        <v>177</v>
      </c>
      <c r="B13">
        <v>75</v>
      </c>
      <c r="C13">
        <v>80</v>
      </c>
      <c r="D13">
        <v>80</v>
      </c>
      <c r="E13" s="22">
        <v>80</v>
      </c>
      <c r="F13"/>
    </row>
    <row r="14" spans="1:6">
      <c r="A14" s="23" t="s">
        <v>178</v>
      </c>
      <c r="B14"/>
      <c r="C14">
        <v>105</v>
      </c>
      <c r="D14">
        <v>105</v>
      </c>
      <c r="E14" s="22">
        <v>105</v>
      </c>
      <c r="F14"/>
    </row>
    <row r="15" spans="1:6">
      <c r="A15" s="23" t="s">
        <v>179</v>
      </c>
      <c r="B15"/>
      <c r="C15">
        <v>90</v>
      </c>
      <c r="D15">
        <v>90</v>
      </c>
      <c r="E15" s="22">
        <v>90</v>
      </c>
      <c r="F15"/>
    </row>
    <row r="16" spans="1:6">
      <c r="A16" s="23" t="s">
        <v>180</v>
      </c>
      <c r="B16"/>
      <c r="C16">
        <v>60</v>
      </c>
      <c r="D16">
        <v>60</v>
      </c>
      <c r="E16" s="22">
        <v>60</v>
      </c>
      <c r="F16"/>
    </row>
  </sheetData>
  <pageMargins left="0.7" right="0.7" top="0.75" bottom="0.75" header="0.3" footer="0.3"/>
  <pageSetup paperSize="1" orientation="portrait" verticalDpi="3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437"/>
  <sheetViews>
    <sheetView zoomScale="180" zoomScaleNormal="180" topLeftCell="A30" workbookViewId="0">
      <selection activeCell="B11" sqref="B11"/>
    </sheetView>
  </sheetViews>
  <sheetFormatPr defaultColWidth="8.8" defaultRowHeight="15" outlineLevelCol="2"/>
  <cols>
    <col min="1" max="1" width="27" customWidth="1"/>
    <col min="2" max="2" width="28.2" customWidth="1"/>
    <col min="3" max="3" width="12" customWidth="1"/>
  </cols>
  <sheetData>
    <row r="2" spans="3:3">
      <c r="C2" t="s">
        <v>181</v>
      </c>
    </row>
    <row r="3" spans="3:3">
      <c r="C3" t="s">
        <v>182</v>
      </c>
    </row>
    <row r="10" spans="1:1">
      <c r="A10" s="3" t="s">
        <v>183</v>
      </c>
    </row>
    <row r="12" ht="15.75"/>
    <row r="13" ht="15.75" spans="1:2">
      <c r="A13" s="4" t="s">
        <v>184</v>
      </c>
      <c r="B13" s="5" t="s">
        <v>185</v>
      </c>
    </row>
    <row r="14" spans="1:2">
      <c r="A14" s="6" t="s">
        <v>93</v>
      </c>
      <c r="B14" s="7" t="str">
        <f>_xlfn.XLOOKUP(B13,RawData!A:A,RawData!B:B)</f>
        <v>150 Warren Coleman Blvd</v>
      </c>
    </row>
    <row r="15" spans="1:2">
      <c r="A15" s="6" t="s">
        <v>95</v>
      </c>
      <c r="B15" s="8" t="str">
        <f>_xlfn.XLOOKUP(B13,RawData!A:A,RawData!C:C)</f>
        <v>Concord</v>
      </c>
    </row>
    <row r="16" ht="15.75" spans="1:2">
      <c r="A16" s="9" t="s">
        <v>186</v>
      </c>
      <c r="B16" s="10">
        <f>_xlfn.XLOOKUP(B13,RawData!A:A,RawData!G:G)</f>
        <v>255</v>
      </c>
    </row>
    <row r="27" spans="1:1">
      <c r="A27" s="3" t="s">
        <v>183</v>
      </c>
    </row>
    <row r="29" spans="1:2">
      <c r="A29" t="s">
        <v>187</v>
      </c>
      <c r="B29" t="s">
        <v>188</v>
      </c>
    </row>
    <row r="30" ht="15.75"/>
    <row r="31" ht="15.75" spans="1:2">
      <c r="A31" s="11" t="s">
        <v>189</v>
      </c>
      <c r="B31" s="12" t="s">
        <v>190</v>
      </c>
    </row>
    <row r="32" ht="15.75" spans="1:2">
      <c r="A32" s="13">
        <v>86</v>
      </c>
      <c r="B32" s="14" t="str">
        <f>_xlfn.XLOOKUP(A32,A37:A41,B37:B41,,-1)</f>
        <v>B</v>
      </c>
    </row>
    <row r="35" ht="15.75"/>
    <row r="36" ht="15.75" spans="1:2">
      <c r="A36" s="11" t="s">
        <v>32</v>
      </c>
      <c r="B36" s="15"/>
    </row>
    <row r="37" spans="1:2">
      <c r="A37" s="16">
        <v>90</v>
      </c>
      <c r="B37" s="17" t="s">
        <v>161</v>
      </c>
    </row>
    <row r="38" spans="1:2">
      <c r="A38" s="18">
        <v>80</v>
      </c>
      <c r="B38" s="19" t="s">
        <v>162</v>
      </c>
    </row>
    <row r="39" spans="1:2">
      <c r="A39" s="18">
        <v>70</v>
      </c>
      <c r="B39" s="19" t="s">
        <v>191</v>
      </c>
    </row>
    <row r="40" spans="1:2">
      <c r="A40" s="18">
        <v>60</v>
      </c>
      <c r="B40" s="19" t="s">
        <v>192</v>
      </c>
    </row>
    <row r="41" ht="15.75" spans="1:2">
      <c r="A41" s="20">
        <v>0</v>
      </c>
      <c r="B41" s="21" t="s">
        <v>193</v>
      </c>
    </row>
    <row r="52" spans="2:2">
      <c r="B52" s="3" t="s">
        <v>194</v>
      </c>
    </row>
    <row r="54" spans="3:3">
      <c r="C54" t="s">
        <v>186</v>
      </c>
    </row>
    <row r="55" spans="2:3">
      <c r="B55" t="s">
        <v>195</v>
      </c>
      <c r="C55" cm="1">
        <f t="array" ref="C55:C57">_xlfn.XLOOKUP(B55:B57,RawData!A:A,RawData!G:G)</f>
        <v>115</v>
      </c>
    </row>
    <row r="56" spans="2:3">
      <c r="B56" t="s">
        <v>196</v>
      </c>
      <c r="C56">
        <v>300</v>
      </c>
    </row>
    <row r="57" spans="2:3">
      <c r="B57" t="s">
        <v>197</v>
      </c>
      <c r="C57">
        <v>140</v>
      </c>
    </row>
    <row r="67" spans="1:1">
      <c r="A67" s="3" t="s">
        <v>198</v>
      </c>
    </row>
    <row r="68" spans="1:2">
      <c r="A68" t="s">
        <v>199</v>
      </c>
      <c r="B68" t="s">
        <v>200</v>
      </c>
    </row>
    <row r="69" ht="15.75"/>
    <row r="70" ht="15.75" spans="1:2">
      <c r="A70" s="4" t="s">
        <v>184</v>
      </c>
      <c r="B70" s="5" t="s">
        <v>201</v>
      </c>
    </row>
    <row r="71" spans="1:2">
      <c r="A71" s="6" t="s">
        <v>93</v>
      </c>
      <c r="B71" s="7" t="str">
        <f>VLOOKUP(B70,RawData!A:G,2,FALSE)</f>
        <v>159 Walker Rd</v>
      </c>
    </row>
    <row r="72" spans="1:2">
      <c r="A72" s="6" t="s">
        <v>95</v>
      </c>
      <c r="B72" s="8"/>
    </row>
    <row r="73" ht="15.75" spans="1:2">
      <c r="A73" s="9" t="s">
        <v>186</v>
      </c>
      <c r="B73" s="10"/>
    </row>
    <row r="84" spans="1:1">
      <c r="A84" s="3" t="s">
        <v>198</v>
      </c>
    </row>
    <row r="85" spans="1:2">
      <c r="A85" t="s">
        <v>187</v>
      </c>
      <c r="B85" t="s">
        <v>188</v>
      </c>
    </row>
    <row r="86" ht="15.75"/>
    <row r="87" ht="15.75" spans="1:2">
      <c r="A87" s="11" t="s">
        <v>189</v>
      </c>
      <c r="B87" s="12" t="s">
        <v>190</v>
      </c>
    </row>
    <row r="88" ht="15.75" spans="1:2">
      <c r="A88" s="13">
        <v>90</v>
      </c>
      <c r="B88" s="14" t="str">
        <f>VLOOKUP(A88,A93:B97,2,TRUE)</f>
        <v>A</v>
      </c>
    </row>
    <row r="91" ht="15.75"/>
    <row r="92" ht="15.75" spans="1:2">
      <c r="A92" s="11" t="s">
        <v>202</v>
      </c>
      <c r="B92" s="15"/>
    </row>
    <row r="93" spans="1:2">
      <c r="A93" s="16">
        <v>0</v>
      </c>
      <c r="B93" s="17" t="s">
        <v>193</v>
      </c>
    </row>
    <row r="94" spans="1:2">
      <c r="A94" s="18">
        <v>60</v>
      </c>
      <c r="B94" s="19" t="s">
        <v>192</v>
      </c>
    </row>
    <row r="95" spans="1:2">
      <c r="A95" s="18">
        <v>70</v>
      </c>
      <c r="B95" s="19" t="s">
        <v>191</v>
      </c>
    </row>
    <row r="96" spans="1:2">
      <c r="A96" s="18">
        <v>80</v>
      </c>
      <c r="B96" s="19" t="s">
        <v>162</v>
      </c>
    </row>
    <row r="97" ht="15.75" spans="1:2">
      <c r="A97" s="20">
        <v>90</v>
      </c>
      <c r="B97" s="21" t="s">
        <v>161</v>
      </c>
    </row>
    <row r="98" spans="1:1">
      <c r="A98" s="22"/>
    </row>
    <row r="336" spans="1:1">
      <c r="A336" t="s">
        <v>203</v>
      </c>
    </row>
    <row r="338" spans="1:2">
      <c r="A338" t="s">
        <v>184</v>
      </c>
      <c r="B338" t="s">
        <v>204</v>
      </c>
    </row>
    <row r="339" spans="1:2">
      <c r="A339" t="s">
        <v>205</v>
      </c>
      <c r="B339">
        <v>200</v>
      </c>
    </row>
    <row r="340" spans="1:2">
      <c r="A340" t="s">
        <v>206</v>
      </c>
      <c r="B340">
        <v>680</v>
      </c>
    </row>
    <row r="341" spans="1:2">
      <c r="A341" t="s">
        <v>207</v>
      </c>
      <c r="B341">
        <v>1389</v>
      </c>
    </row>
    <row r="342" spans="1:2">
      <c r="A342" t="s">
        <v>208</v>
      </c>
      <c r="B342">
        <v>111</v>
      </c>
    </row>
    <row r="343" spans="1:2">
      <c r="A343" t="s">
        <v>209</v>
      </c>
      <c r="B343">
        <v>350</v>
      </c>
    </row>
    <row r="344" spans="1:2">
      <c r="A344" t="s">
        <v>210</v>
      </c>
      <c r="B344">
        <v>160</v>
      </c>
    </row>
    <row r="345" spans="1:2">
      <c r="A345" t="s">
        <v>211</v>
      </c>
      <c r="B345">
        <v>187</v>
      </c>
    </row>
    <row r="346" spans="1:2">
      <c r="A346" t="s">
        <v>212</v>
      </c>
      <c r="B346">
        <v>100</v>
      </c>
    </row>
    <row r="347" spans="1:2">
      <c r="A347" t="s">
        <v>213</v>
      </c>
      <c r="B347">
        <v>100</v>
      </c>
    </row>
    <row r="348" spans="1:2">
      <c r="A348" t="s">
        <v>214</v>
      </c>
      <c r="B348">
        <v>115</v>
      </c>
    </row>
    <row r="349" spans="1:2">
      <c r="A349" t="s">
        <v>215</v>
      </c>
      <c r="B349">
        <v>250</v>
      </c>
    </row>
    <row r="350" spans="1:2">
      <c r="A350" t="s">
        <v>216</v>
      </c>
      <c r="B350">
        <v>243</v>
      </c>
    </row>
    <row r="351" spans="1:2">
      <c r="A351" t="s">
        <v>217</v>
      </c>
      <c r="B351">
        <v>195</v>
      </c>
    </row>
    <row r="352" spans="1:2">
      <c r="A352" t="s">
        <v>218</v>
      </c>
      <c r="B352">
        <v>140</v>
      </c>
    </row>
    <row r="353" spans="1:2">
      <c r="A353" t="s">
        <v>219</v>
      </c>
      <c r="B353">
        <v>26283</v>
      </c>
    </row>
    <row r="354" spans="1:2">
      <c r="A354" t="s">
        <v>220</v>
      </c>
      <c r="B354">
        <v>3230</v>
      </c>
    </row>
    <row r="355" spans="1:2">
      <c r="A355" t="s">
        <v>221</v>
      </c>
      <c r="B355">
        <v>100</v>
      </c>
    </row>
    <row r="356" spans="1:2">
      <c r="A356" t="s">
        <v>222</v>
      </c>
      <c r="B356">
        <v>190</v>
      </c>
    </row>
    <row r="357" spans="1:2">
      <c r="A357" t="s">
        <v>223</v>
      </c>
      <c r="B357">
        <v>258</v>
      </c>
    </row>
    <row r="358" spans="1:2">
      <c r="A358" t="s">
        <v>224</v>
      </c>
      <c r="B358">
        <v>320</v>
      </c>
    </row>
    <row r="359" spans="1:2">
      <c r="A359" t="s">
        <v>225</v>
      </c>
      <c r="B359">
        <v>170</v>
      </c>
    </row>
    <row r="360" spans="1:2">
      <c r="A360" t="s">
        <v>226</v>
      </c>
      <c r="B360">
        <v>650</v>
      </c>
    </row>
    <row r="361" spans="1:2">
      <c r="A361" t="s">
        <v>227</v>
      </c>
      <c r="B361">
        <v>245</v>
      </c>
    </row>
    <row r="362" spans="1:2">
      <c r="A362" t="s">
        <v>228</v>
      </c>
      <c r="B362">
        <v>375</v>
      </c>
    </row>
    <row r="363" spans="1:2">
      <c r="A363" t="s">
        <v>229</v>
      </c>
      <c r="B363">
        <v>175</v>
      </c>
    </row>
    <row r="364" spans="1:2">
      <c r="A364" t="s">
        <v>230</v>
      </c>
      <c r="B364">
        <v>115</v>
      </c>
    </row>
    <row r="365" spans="1:2">
      <c r="A365" t="s">
        <v>231</v>
      </c>
      <c r="B365">
        <v>200</v>
      </c>
    </row>
    <row r="366" spans="1:2">
      <c r="A366" t="s">
        <v>232</v>
      </c>
      <c r="B366">
        <v>100</v>
      </c>
    </row>
    <row r="367" spans="1:2">
      <c r="A367" t="s">
        <v>233</v>
      </c>
      <c r="B367">
        <v>100</v>
      </c>
    </row>
    <row r="368" spans="1:2">
      <c r="A368" t="s">
        <v>234</v>
      </c>
      <c r="B368">
        <v>500</v>
      </c>
    </row>
    <row r="369" spans="1:2">
      <c r="A369" t="s">
        <v>235</v>
      </c>
      <c r="B369">
        <v>100</v>
      </c>
    </row>
    <row r="370" spans="1:2">
      <c r="A370" t="s">
        <v>236</v>
      </c>
      <c r="B370">
        <v>100</v>
      </c>
    </row>
    <row r="371" spans="1:2">
      <c r="A371" t="s">
        <v>237</v>
      </c>
      <c r="B371">
        <v>120</v>
      </c>
    </row>
    <row r="372" spans="1:2">
      <c r="A372" t="s">
        <v>238</v>
      </c>
      <c r="B372">
        <v>175</v>
      </c>
    </row>
    <row r="373" spans="1:2">
      <c r="A373" t="s">
        <v>239</v>
      </c>
      <c r="B373">
        <v>250</v>
      </c>
    </row>
    <row r="374" spans="1:2">
      <c r="A374" t="s">
        <v>240</v>
      </c>
      <c r="B374">
        <v>150</v>
      </c>
    </row>
    <row r="375" spans="1:2">
      <c r="A375" t="s">
        <v>241</v>
      </c>
      <c r="B375">
        <v>100</v>
      </c>
    </row>
    <row r="376" spans="1:2">
      <c r="A376" t="s">
        <v>242</v>
      </c>
      <c r="B376">
        <v>300</v>
      </c>
    </row>
    <row r="377" spans="1:2">
      <c r="A377" t="s">
        <v>243</v>
      </c>
      <c r="B377">
        <v>110</v>
      </c>
    </row>
    <row r="378" spans="1:2">
      <c r="A378" t="s">
        <v>244</v>
      </c>
      <c r="B378">
        <v>575</v>
      </c>
    </row>
    <row r="379" spans="1:2">
      <c r="A379" t="s">
        <v>245</v>
      </c>
      <c r="B379">
        <v>125</v>
      </c>
    </row>
    <row r="380" spans="1:2">
      <c r="A380" t="s">
        <v>246</v>
      </c>
      <c r="B380">
        <v>200</v>
      </c>
    </row>
    <row r="381" spans="1:2">
      <c r="A381" t="s">
        <v>247</v>
      </c>
      <c r="B381">
        <v>1000</v>
      </c>
    </row>
    <row r="382" spans="1:2">
      <c r="A382" t="s">
        <v>248</v>
      </c>
      <c r="B382">
        <v>1575</v>
      </c>
    </row>
    <row r="383" spans="1:2">
      <c r="A383" t="s">
        <v>249</v>
      </c>
      <c r="B383">
        <v>325</v>
      </c>
    </row>
    <row r="384" spans="1:2">
      <c r="A384" t="s">
        <v>250</v>
      </c>
      <c r="B384">
        <v>180</v>
      </c>
    </row>
    <row r="385" spans="1:2">
      <c r="A385" t="s">
        <v>251</v>
      </c>
      <c r="B385">
        <v>600</v>
      </c>
    </row>
    <row r="386" spans="1:2">
      <c r="A386" t="s">
        <v>252</v>
      </c>
      <c r="B386">
        <v>2010</v>
      </c>
    </row>
    <row r="387" spans="1:2">
      <c r="A387" t="s">
        <v>253</v>
      </c>
      <c r="B387">
        <v>158</v>
      </c>
    </row>
    <row r="388" spans="1:2">
      <c r="A388" t="s">
        <v>254</v>
      </c>
      <c r="B388">
        <v>250</v>
      </c>
    </row>
    <row r="389" spans="1:2">
      <c r="A389" t="s">
        <v>255</v>
      </c>
      <c r="B389">
        <v>500</v>
      </c>
    </row>
    <row r="390" spans="1:2">
      <c r="A390" t="s">
        <v>256</v>
      </c>
      <c r="B390">
        <v>160</v>
      </c>
    </row>
    <row r="391" spans="1:2">
      <c r="A391" t="s">
        <v>257</v>
      </c>
      <c r="B391">
        <v>100</v>
      </c>
    </row>
    <row r="392" spans="1:2">
      <c r="A392" t="s">
        <v>258</v>
      </c>
      <c r="B392">
        <v>273</v>
      </c>
    </row>
    <row r="393" spans="1:2">
      <c r="A393" t="s">
        <v>259</v>
      </c>
      <c r="B393">
        <v>650</v>
      </c>
    </row>
    <row r="394" spans="1:2">
      <c r="A394" t="s">
        <v>260</v>
      </c>
      <c r="B394">
        <v>140</v>
      </c>
    </row>
    <row r="395" spans="1:2">
      <c r="A395" t="s">
        <v>261</v>
      </c>
      <c r="B395">
        <v>152</v>
      </c>
    </row>
    <row r="396" spans="1:2">
      <c r="A396" t="s">
        <v>262</v>
      </c>
      <c r="B396">
        <v>250</v>
      </c>
    </row>
    <row r="397" spans="1:2">
      <c r="A397" t="s">
        <v>263</v>
      </c>
      <c r="B397">
        <v>200</v>
      </c>
    </row>
    <row r="398" spans="1:2">
      <c r="A398" t="s">
        <v>264</v>
      </c>
      <c r="B398">
        <v>500</v>
      </c>
    </row>
    <row r="399" spans="1:2">
      <c r="A399" t="s">
        <v>265</v>
      </c>
      <c r="B399">
        <v>205</v>
      </c>
    </row>
    <row r="400" spans="1:2">
      <c r="A400" t="s">
        <v>266</v>
      </c>
      <c r="B400">
        <v>550</v>
      </c>
    </row>
    <row r="401" spans="1:2">
      <c r="A401" t="s">
        <v>267</v>
      </c>
      <c r="B401">
        <v>675</v>
      </c>
    </row>
    <row r="402" spans="1:2">
      <c r="A402" t="s">
        <v>268</v>
      </c>
      <c r="B402">
        <v>100</v>
      </c>
    </row>
    <row r="403" spans="1:2">
      <c r="A403" t="s">
        <v>269</v>
      </c>
      <c r="B403">
        <v>1175</v>
      </c>
    </row>
    <row r="404" spans="1:2">
      <c r="A404" t="s">
        <v>270</v>
      </c>
      <c r="B404">
        <v>150</v>
      </c>
    </row>
    <row r="405" spans="1:2">
      <c r="A405" t="s">
        <v>271</v>
      </c>
      <c r="B405">
        <v>110</v>
      </c>
    </row>
    <row r="406" spans="1:2">
      <c r="A406" t="s">
        <v>272</v>
      </c>
      <c r="B406">
        <v>300</v>
      </c>
    </row>
    <row r="407" spans="1:2">
      <c r="A407" t="s">
        <v>273</v>
      </c>
      <c r="B407">
        <v>300</v>
      </c>
    </row>
    <row r="408" spans="1:2">
      <c r="A408" t="s">
        <v>274</v>
      </c>
      <c r="B408">
        <v>100</v>
      </c>
    </row>
    <row r="409" spans="1:2">
      <c r="A409" t="s">
        <v>275</v>
      </c>
      <c r="B409">
        <v>250</v>
      </c>
    </row>
    <row r="410" spans="1:2">
      <c r="A410" t="s">
        <v>276</v>
      </c>
      <c r="B410">
        <v>100</v>
      </c>
    </row>
    <row r="411" spans="1:2">
      <c r="A411" t="s">
        <v>277</v>
      </c>
      <c r="B411">
        <v>119</v>
      </c>
    </row>
    <row r="412" spans="1:2">
      <c r="A412" t="s">
        <v>278</v>
      </c>
      <c r="B412">
        <v>151</v>
      </c>
    </row>
    <row r="413" spans="1:2">
      <c r="A413" t="s">
        <v>279</v>
      </c>
      <c r="B413">
        <v>150</v>
      </c>
    </row>
    <row r="414" spans="1:2">
      <c r="A414" t="s">
        <v>280</v>
      </c>
      <c r="B414">
        <v>120</v>
      </c>
    </row>
    <row r="415" spans="1:2">
      <c r="A415" t="s">
        <v>281</v>
      </c>
      <c r="B415">
        <v>350</v>
      </c>
    </row>
    <row r="416" spans="1:2">
      <c r="A416" t="s">
        <v>282</v>
      </c>
      <c r="B416">
        <v>200</v>
      </c>
    </row>
    <row r="417" spans="1:2">
      <c r="A417" t="s">
        <v>283</v>
      </c>
      <c r="B417">
        <v>450</v>
      </c>
    </row>
    <row r="418" spans="1:2">
      <c r="A418" t="s">
        <v>284</v>
      </c>
      <c r="B418">
        <v>700</v>
      </c>
    </row>
    <row r="419" spans="1:2">
      <c r="A419" t="s">
        <v>285</v>
      </c>
      <c r="B419">
        <v>200</v>
      </c>
    </row>
    <row r="420" spans="1:2">
      <c r="A420" t="s">
        <v>286</v>
      </c>
      <c r="B420">
        <v>140</v>
      </c>
    </row>
    <row r="421" spans="1:2">
      <c r="A421" t="s">
        <v>287</v>
      </c>
      <c r="B421">
        <v>150</v>
      </c>
    </row>
    <row r="422" spans="1:2">
      <c r="A422" t="s">
        <v>288</v>
      </c>
      <c r="B422">
        <v>100</v>
      </c>
    </row>
    <row r="423" spans="1:2">
      <c r="A423" t="s">
        <v>289</v>
      </c>
      <c r="B423">
        <v>250</v>
      </c>
    </row>
    <row r="424" spans="1:2">
      <c r="A424" t="s">
        <v>290</v>
      </c>
      <c r="B424">
        <v>2210</v>
      </c>
    </row>
    <row r="425" spans="1:2">
      <c r="A425" t="s">
        <v>291</v>
      </c>
      <c r="B425">
        <v>100</v>
      </c>
    </row>
    <row r="426" spans="1:2">
      <c r="A426" t="s">
        <v>292</v>
      </c>
      <c r="B426">
        <v>113</v>
      </c>
    </row>
    <row r="427" spans="1:2">
      <c r="A427" t="s">
        <v>293</v>
      </c>
      <c r="B427">
        <v>160</v>
      </c>
    </row>
    <row r="428" spans="1:2">
      <c r="A428" t="s">
        <v>294</v>
      </c>
      <c r="B428">
        <v>200</v>
      </c>
    </row>
    <row r="429" spans="1:2">
      <c r="A429" t="s">
        <v>295</v>
      </c>
      <c r="B429">
        <v>350</v>
      </c>
    </row>
    <row r="430" spans="1:2">
      <c r="A430" t="s">
        <v>296</v>
      </c>
      <c r="B430">
        <v>100</v>
      </c>
    </row>
    <row r="431" spans="1:2">
      <c r="A431" t="s">
        <v>297</v>
      </c>
      <c r="B431">
        <v>2800</v>
      </c>
    </row>
    <row r="432" spans="1:2">
      <c r="A432" t="s">
        <v>298</v>
      </c>
      <c r="B432">
        <v>100</v>
      </c>
    </row>
    <row r="433" spans="1:2">
      <c r="A433" t="s">
        <v>299</v>
      </c>
      <c r="B433">
        <v>110</v>
      </c>
    </row>
    <row r="434" spans="1:2">
      <c r="A434" t="s">
        <v>300</v>
      </c>
      <c r="B434">
        <v>100</v>
      </c>
    </row>
    <row r="435" spans="1:2">
      <c r="A435" t="s">
        <v>301</v>
      </c>
      <c r="B435">
        <v>350</v>
      </c>
    </row>
    <row r="436" spans="1:2">
      <c r="A436" t="s">
        <v>302</v>
      </c>
      <c r="B436">
        <v>1034</v>
      </c>
    </row>
    <row r="437" spans="1:2">
      <c r="A437" t="s">
        <v>303</v>
      </c>
      <c r="B437">
        <v>150</v>
      </c>
    </row>
  </sheetData>
  <mergeCells count="2">
    <mergeCell ref="A36:B36"/>
    <mergeCell ref="A92:B92"/>
  </mergeCells>
  <dataValidations count="2">
    <dataValidation type="list" allowBlank="1" showInputMessage="1" showErrorMessage="1" sqref="B13 B70 B55:B57">
      <formula1>RawDataCompany</formula1>
    </dataValidation>
    <dataValidation type="whole" operator="between" allowBlank="1" showInputMessage="1" showErrorMessage="1" errorTitle="Invalid Entry" error="Test score must be a value between 0 &amp; 100" sqref="A32 A88">
      <formula1>0</formula1>
      <formula2>100</formula2>
    </dataValidation>
  </dataValidations>
  <pageMargins left="0.7" right="0.7" top="0.75" bottom="0.75" header="0.3" footer="0.3"/>
  <pageSetup paperSize="1" orientation="portrait" verticalDpi="3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356"/>
  <sheetViews>
    <sheetView zoomScale="160" zoomScaleNormal="160" topLeftCell="A10" workbookViewId="0">
      <selection activeCell="C32" sqref="C32"/>
    </sheetView>
  </sheetViews>
  <sheetFormatPr defaultColWidth="8.8" defaultRowHeight="15"/>
  <cols>
    <col min="1" max="1" width="27" customWidth="1"/>
    <col min="2" max="2" width="20.0666666666667" customWidth="1"/>
    <col min="3" max="3" width="12" customWidth="1"/>
    <col min="7" max="7" width="13.3333333333333" customWidth="1"/>
  </cols>
  <sheetData>
    <row r="2" spans="3:3">
      <c r="C2" t="s">
        <v>304</v>
      </c>
    </row>
    <row r="3" spans="3:3">
      <c r="C3" t="s">
        <v>305</v>
      </c>
    </row>
    <row r="4" spans="3:3">
      <c r="C4" t="s">
        <v>306</v>
      </c>
    </row>
    <row r="5" spans="3:3">
      <c r="C5" t="s">
        <v>307</v>
      </c>
    </row>
    <row r="10" spans="1:1">
      <c r="A10" s="3" t="s">
        <v>305</v>
      </c>
    </row>
    <row r="12" spans="1:2">
      <c r="A12" t="s">
        <v>304</v>
      </c>
      <c r="B12" t="s">
        <v>308</v>
      </c>
    </row>
    <row r="13" spans="1:10">
      <c r="A13" t="s">
        <v>309</v>
      </c>
      <c r="B13" t="s">
        <v>310</v>
      </c>
      <c r="E13" t="s">
        <v>311</v>
      </c>
      <c r="F13" t="s">
        <v>312</v>
      </c>
      <c r="G13" t="s">
        <v>313</v>
      </c>
      <c r="H13" t="s">
        <v>314</v>
      </c>
      <c r="I13" t="s">
        <v>315</v>
      </c>
      <c r="J13" t="s">
        <v>316</v>
      </c>
    </row>
    <row r="14" spans="1:10">
      <c r="A14" t="s">
        <v>317</v>
      </c>
      <c r="B14" t="s">
        <v>318</v>
      </c>
      <c r="D14" t="s">
        <v>319</v>
      </c>
      <c r="E14" t="s">
        <v>320</v>
      </c>
      <c r="F14">
        <v>15</v>
      </c>
      <c r="G14">
        <v>11</v>
      </c>
      <c r="H14">
        <v>23</v>
      </c>
      <c r="I14">
        <v>22</v>
      </c>
      <c r="J14">
        <v>20</v>
      </c>
    </row>
    <row r="15" spans="4:10">
      <c r="D15" t="s">
        <v>321</v>
      </c>
      <c r="E15" t="s">
        <v>322</v>
      </c>
      <c r="F15">
        <v>16</v>
      </c>
      <c r="G15">
        <v>23</v>
      </c>
      <c r="H15">
        <v>13</v>
      </c>
      <c r="I15">
        <v>13</v>
      </c>
      <c r="J15">
        <v>12</v>
      </c>
    </row>
    <row r="16" spans="1:10">
      <c r="A16">
        <f>INDEX(D13:J16,3,5)</f>
        <v>13</v>
      </c>
      <c r="D16" t="s">
        <v>323</v>
      </c>
      <c r="E16" t="s">
        <v>324</v>
      </c>
      <c r="F16">
        <v>10</v>
      </c>
      <c r="G16">
        <v>12</v>
      </c>
      <c r="H16">
        <v>18</v>
      </c>
      <c r="I16">
        <v>16</v>
      </c>
      <c r="J16">
        <v>13</v>
      </c>
    </row>
    <row r="22" spans="1:1">
      <c r="A22" s="3" t="s">
        <v>306</v>
      </c>
    </row>
    <row r="24" spans="1:10">
      <c r="A24" t="s">
        <v>325</v>
      </c>
      <c r="B24" t="s">
        <v>326</v>
      </c>
      <c r="E24" t="s">
        <v>311</v>
      </c>
      <c r="F24" t="s">
        <v>312</v>
      </c>
      <c r="G24" t="s">
        <v>313</v>
      </c>
      <c r="H24" t="s">
        <v>314</v>
      </c>
      <c r="I24" t="s">
        <v>315</v>
      </c>
      <c r="J24" t="s">
        <v>316</v>
      </c>
    </row>
    <row r="25" spans="1:10">
      <c r="A25" t="s">
        <v>327</v>
      </c>
      <c r="B25" t="s">
        <v>328</v>
      </c>
      <c r="D25" t="s">
        <v>319</v>
      </c>
      <c r="E25" t="s">
        <v>320</v>
      </c>
      <c r="F25">
        <v>15</v>
      </c>
      <c r="G25">
        <v>11</v>
      </c>
      <c r="H25">
        <v>23</v>
      </c>
      <c r="I25">
        <v>22</v>
      </c>
      <c r="J25">
        <v>20</v>
      </c>
    </row>
    <row r="26" spans="1:10">
      <c r="A26" t="s">
        <v>329</v>
      </c>
      <c r="B26" s="48" t="s">
        <v>330</v>
      </c>
      <c r="D26" t="s">
        <v>321</v>
      </c>
      <c r="E26" t="s">
        <v>322</v>
      </c>
      <c r="F26">
        <v>16</v>
      </c>
      <c r="G26">
        <v>23</v>
      </c>
      <c r="H26">
        <v>13</v>
      </c>
      <c r="I26">
        <v>13</v>
      </c>
      <c r="J26">
        <v>12</v>
      </c>
    </row>
    <row r="27" spans="4:10">
      <c r="D27" t="s">
        <v>323</v>
      </c>
      <c r="E27" t="s">
        <v>324</v>
      </c>
      <c r="F27">
        <v>10</v>
      </c>
      <c r="G27">
        <v>12</v>
      </c>
      <c r="H27">
        <v>18</v>
      </c>
      <c r="I27">
        <v>16</v>
      </c>
      <c r="J27">
        <v>13</v>
      </c>
    </row>
    <row r="28" spans="1:2">
      <c r="A28">
        <f>MATCH(B28,D24:D27,0)</f>
        <v>3</v>
      </c>
      <c r="B28" t="s">
        <v>321</v>
      </c>
    </row>
    <row r="29" spans="1:2">
      <c r="A29">
        <f>MATCH(B29,E24:E27,0)</f>
        <v>3</v>
      </c>
      <c r="B29" t="s">
        <v>322</v>
      </c>
    </row>
    <row r="30" spans="1:2">
      <c r="A30">
        <f>MATCH(B30,D24:J24,0)</f>
        <v>5</v>
      </c>
      <c r="B30" t="s">
        <v>314</v>
      </c>
    </row>
    <row r="34" spans="1:1">
      <c r="A34" s="3" t="s">
        <v>331</v>
      </c>
    </row>
    <row r="35" spans="5:10">
      <c r="E35" t="s">
        <v>311</v>
      </c>
      <c r="F35" t="s">
        <v>312</v>
      </c>
      <c r="G35" t="s">
        <v>313</v>
      </c>
      <c r="H35" t="s">
        <v>314</v>
      </c>
      <c r="I35" t="s">
        <v>315</v>
      </c>
      <c r="J35" t="s">
        <v>316</v>
      </c>
    </row>
    <row r="36" spans="1:10">
      <c r="A36">
        <f>INDEX(D35:J38,MATCH(B36,D35:D38,0),MATCH(B37,D35:J35,0))</f>
        <v>12</v>
      </c>
      <c r="B36" t="s">
        <v>321</v>
      </c>
      <c r="D36" t="s">
        <v>319</v>
      </c>
      <c r="E36" t="s">
        <v>320</v>
      </c>
      <c r="F36">
        <v>15</v>
      </c>
      <c r="G36">
        <v>11</v>
      </c>
      <c r="H36">
        <v>23</v>
      </c>
      <c r="I36">
        <v>22</v>
      </c>
      <c r="J36">
        <v>20</v>
      </c>
    </row>
    <row r="37" spans="2:10">
      <c r="B37" t="s">
        <v>316</v>
      </c>
      <c r="D37" t="s">
        <v>321</v>
      </c>
      <c r="E37" t="s">
        <v>322</v>
      </c>
      <c r="F37">
        <v>16</v>
      </c>
      <c r="G37">
        <v>23</v>
      </c>
      <c r="H37">
        <v>13</v>
      </c>
      <c r="I37">
        <v>13</v>
      </c>
      <c r="J37">
        <v>12</v>
      </c>
    </row>
    <row r="38" spans="4:10">
      <c r="D38" t="s">
        <v>323</v>
      </c>
      <c r="E38" t="s">
        <v>324</v>
      </c>
      <c r="F38">
        <v>10</v>
      </c>
      <c r="G38">
        <v>12</v>
      </c>
      <c r="H38">
        <v>18</v>
      </c>
      <c r="I38">
        <v>16</v>
      </c>
      <c r="J38">
        <v>13</v>
      </c>
    </row>
    <row r="39" spans="1:2">
      <c r="A39">
        <f>INDEX(D35:J38,MATCH(B39,E35:E38,0),MATCH(B40,D35:J35,0))</f>
        <v>16</v>
      </c>
      <c r="B39" t="s">
        <v>324</v>
      </c>
    </row>
    <row r="40" spans="2:2">
      <c r="B40" t="s">
        <v>315</v>
      </c>
    </row>
    <row r="255" spans="1:1">
      <c r="A255" t="s">
        <v>203</v>
      </c>
    </row>
    <row r="257" spans="1:2">
      <c r="A257" t="s">
        <v>184</v>
      </c>
      <c r="B257" t="s">
        <v>204</v>
      </c>
    </row>
    <row r="258" spans="1:2">
      <c r="A258" t="s">
        <v>205</v>
      </c>
      <c r="B258">
        <v>200</v>
      </c>
    </row>
    <row r="259" spans="1:2">
      <c r="A259" t="s">
        <v>206</v>
      </c>
      <c r="B259">
        <v>680</v>
      </c>
    </row>
    <row r="260" spans="1:2">
      <c r="A260" t="s">
        <v>207</v>
      </c>
      <c r="B260">
        <v>1389</v>
      </c>
    </row>
    <row r="261" spans="1:2">
      <c r="A261" t="s">
        <v>208</v>
      </c>
      <c r="B261">
        <v>111</v>
      </c>
    </row>
    <row r="262" spans="1:2">
      <c r="A262" t="s">
        <v>209</v>
      </c>
      <c r="B262">
        <v>350</v>
      </c>
    </row>
    <row r="263" spans="1:2">
      <c r="A263" t="s">
        <v>210</v>
      </c>
      <c r="B263">
        <v>160</v>
      </c>
    </row>
    <row r="264" spans="1:2">
      <c r="A264" t="s">
        <v>211</v>
      </c>
      <c r="B264">
        <v>187</v>
      </c>
    </row>
    <row r="265" spans="1:2">
      <c r="A265" t="s">
        <v>212</v>
      </c>
      <c r="B265">
        <v>100</v>
      </c>
    </row>
    <row r="266" spans="1:2">
      <c r="A266" t="s">
        <v>213</v>
      </c>
      <c r="B266">
        <v>100</v>
      </c>
    </row>
    <row r="267" spans="1:2">
      <c r="A267" t="s">
        <v>214</v>
      </c>
      <c r="B267">
        <v>115</v>
      </c>
    </row>
    <row r="268" spans="1:2">
      <c r="A268" t="s">
        <v>215</v>
      </c>
      <c r="B268">
        <v>250</v>
      </c>
    </row>
    <row r="269" spans="1:2">
      <c r="A269" t="s">
        <v>216</v>
      </c>
      <c r="B269">
        <v>243</v>
      </c>
    </row>
    <row r="270" spans="1:2">
      <c r="A270" t="s">
        <v>217</v>
      </c>
      <c r="B270">
        <v>195</v>
      </c>
    </row>
    <row r="271" spans="1:2">
      <c r="A271" t="s">
        <v>218</v>
      </c>
      <c r="B271">
        <v>140</v>
      </c>
    </row>
    <row r="272" spans="1:2">
      <c r="A272" t="s">
        <v>219</v>
      </c>
      <c r="B272">
        <v>26283</v>
      </c>
    </row>
    <row r="273" spans="1:2">
      <c r="A273" t="s">
        <v>220</v>
      </c>
      <c r="B273">
        <v>3230</v>
      </c>
    </row>
    <row r="274" spans="1:2">
      <c r="A274" t="s">
        <v>221</v>
      </c>
      <c r="B274">
        <v>100</v>
      </c>
    </row>
    <row r="275" spans="1:2">
      <c r="A275" t="s">
        <v>222</v>
      </c>
      <c r="B275">
        <v>190</v>
      </c>
    </row>
    <row r="276" spans="1:2">
      <c r="A276" t="s">
        <v>223</v>
      </c>
      <c r="B276">
        <v>258</v>
      </c>
    </row>
    <row r="277" spans="1:2">
      <c r="A277" t="s">
        <v>224</v>
      </c>
      <c r="B277">
        <v>320</v>
      </c>
    </row>
    <row r="278" spans="1:2">
      <c r="A278" t="s">
        <v>225</v>
      </c>
      <c r="B278">
        <v>170</v>
      </c>
    </row>
    <row r="279" spans="1:2">
      <c r="A279" t="s">
        <v>226</v>
      </c>
      <c r="B279">
        <v>650</v>
      </c>
    </row>
    <row r="280" spans="1:2">
      <c r="A280" t="s">
        <v>227</v>
      </c>
      <c r="B280">
        <v>245</v>
      </c>
    </row>
    <row r="281" spans="1:2">
      <c r="A281" t="s">
        <v>228</v>
      </c>
      <c r="B281">
        <v>375</v>
      </c>
    </row>
    <row r="282" spans="1:2">
      <c r="A282" t="s">
        <v>229</v>
      </c>
      <c r="B282">
        <v>175</v>
      </c>
    </row>
    <row r="283" spans="1:2">
      <c r="A283" t="s">
        <v>230</v>
      </c>
      <c r="B283">
        <v>115</v>
      </c>
    </row>
    <row r="284" spans="1:2">
      <c r="A284" t="s">
        <v>231</v>
      </c>
      <c r="B284">
        <v>200</v>
      </c>
    </row>
    <row r="285" spans="1:2">
      <c r="A285" t="s">
        <v>232</v>
      </c>
      <c r="B285">
        <v>100</v>
      </c>
    </row>
    <row r="286" spans="1:2">
      <c r="A286" t="s">
        <v>233</v>
      </c>
      <c r="B286">
        <v>100</v>
      </c>
    </row>
    <row r="287" spans="1:2">
      <c r="A287" t="s">
        <v>234</v>
      </c>
      <c r="B287">
        <v>500</v>
      </c>
    </row>
    <row r="288" spans="1:2">
      <c r="A288" t="s">
        <v>235</v>
      </c>
      <c r="B288">
        <v>100</v>
      </c>
    </row>
    <row r="289" spans="1:2">
      <c r="A289" t="s">
        <v>236</v>
      </c>
      <c r="B289">
        <v>100</v>
      </c>
    </row>
    <row r="290" spans="1:2">
      <c r="A290" t="s">
        <v>237</v>
      </c>
      <c r="B290">
        <v>120</v>
      </c>
    </row>
    <row r="291" spans="1:2">
      <c r="A291" t="s">
        <v>238</v>
      </c>
      <c r="B291">
        <v>175</v>
      </c>
    </row>
    <row r="292" spans="1:2">
      <c r="A292" t="s">
        <v>239</v>
      </c>
      <c r="B292">
        <v>250</v>
      </c>
    </row>
    <row r="293" spans="1:2">
      <c r="A293" t="s">
        <v>240</v>
      </c>
      <c r="B293">
        <v>150</v>
      </c>
    </row>
    <row r="294" spans="1:2">
      <c r="A294" t="s">
        <v>241</v>
      </c>
      <c r="B294">
        <v>100</v>
      </c>
    </row>
    <row r="295" spans="1:2">
      <c r="A295" t="s">
        <v>242</v>
      </c>
      <c r="B295">
        <v>300</v>
      </c>
    </row>
    <row r="296" spans="1:2">
      <c r="A296" t="s">
        <v>243</v>
      </c>
      <c r="B296">
        <v>110</v>
      </c>
    </row>
    <row r="297" spans="1:2">
      <c r="A297" t="s">
        <v>244</v>
      </c>
      <c r="B297">
        <v>575</v>
      </c>
    </row>
    <row r="298" spans="1:2">
      <c r="A298" t="s">
        <v>245</v>
      </c>
      <c r="B298">
        <v>125</v>
      </c>
    </row>
    <row r="299" spans="1:2">
      <c r="A299" t="s">
        <v>246</v>
      </c>
      <c r="B299">
        <v>200</v>
      </c>
    </row>
    <row r="300" spans="1:2">
      <c r="A300" t="s">
        <v>247</v>
      </c>
      <c r="B300">
        <v>1000</v>
      </c>
    </row>
    <row r="301" spans="1:2">
      <c r="A301" t="s">
        <v>248</v>
      </c>
      <c r="B301">
        <v>1575</v>
      </c>
    </row>
    <row r="302" spans="1:2">
      <c r="A302" t="s">
        <v>249</v>
      </c>
      <c r="B302">
        <v>325</v>
      </c>
    </row>
    <row r="303" spans="1:2">
      <c r="A303" t="s">
        <v>250</v>
      </c>
      <c r="B303">
        <v>180</v>
      </c>
    </row>
    <row r="304" spans="1:2">
      <c r="A304" t="s">
        <v>251</v>
      </c>
      <c r="B304">
        <v>600</v>
      </c>
    </row>
    <row r="305" spans="1:2">
      <c r="A305" t="s">
        <v>252</v>
      </c>
      <c r="B305">
        <v>2010</v>
      </c>
    </row>
    <row r="306" spans="1:2">
      <c r="A306" t="s">
        <v>253</v>
      </c>
      <c r="B306">
        <v>158</v>
      </c>
    </row>
    <row r="307" spans="1:2">
      <c r="A307" t="s">
        <v>254</v>
      </c>
      <c r="B307">
        <v>250</v>
      </c>
    </row>
    <row r="308" spans="1:2">
      <c r="A308" t="s">
        <v>255</v>
      </c>
      <c r="B308">
        <v>500</v>
      </c>
    </row>
    <row r="309" spans="1:2">
      <c r="A309" t="s">
        <v>256</v>
      </c>
      <c r="B309">
        <v>160</v>
      </c>
    </row>
    <row r="310" spans="1:2">
      <c r="A310" t="s">
        <v>257</v>
      </c>
      <c r="B310">
        <v>100</v>
      </c>
    </row>
    <row r="311" spans="1:2">
      <c r="A311" t="s">
        <v>258</v>
      </c>
      <c r="B311">
        <v>273</v>
      </c>
    </row>
    <row r="312" spans="1:2">
      <c r="A312" t="s">
        <v>259</v>
      </c>
      <c r="B312">
        <v>650</v>
      </c>
    </row>
    <row r="313" spans="1:2">
      <c r="A313" t="s">
        <v>260</v>
      </c>
      <c r="B313">
        <v>140</v>
      </c>
    </row>
    <row r="314" spans="1:2">
      <c r="A314" t="s">
        <v>261</v>
      </c>
      <c r="B314">
        <v>152</v>
      </c>
    </row>
    <row r="315" spans="1:2">
      <c r="A315" t="s">
        <v>262</v>
      </c>
      <c r="B315">
        <v>250</v>
      </c>
    </row>
    <row r="316" spans="1:2">
      <c r="A316" t="s">
        <v>263</v>
      </c>
      <c r="B316">
        <v>200</v>
      </c>
    </row>
    <row r="317" spans="1:2">
      <c r="A317" t="s">
        <v>264</v>
      </c>
      <c r="B317">
        <v>500</v>
      </c>
    </row>
    <row r="318" spans="1:2">
      <c r="A318" t="s">
        <v>265</v>
      </c>
      <c r="B318">
        <v>205</v>
      </c>
    </row>
    <row r="319" spans="1:2">
      <c r="A319" t="s">
        <v>266</v>
      </c>
      <c r="B319">
        <v>550</v>
      </c>
    </row>
    <row r="320" spans="1:2">
      <c r="A320" t="s">
        <v>267</v>
      </c>
      <c r="B320">
        <v>675</v>
      </c>
    </row>
    <row r="321" spans="1:2">
      <c r="A321" t="s">
        <v>268</v>
      </c>
      <c r="B321">
        <v>100</v>
      </c>
    </row>
    <row r="322" spans="1:2">
      <c r="A322" t="s">
        <v>269</v>
      </c>
      <c r="B322">
        <v>1175</v>
      </c>
    </row>
    <row r="323" spans="1:2">
      <c r="A323" t="s">
        <v>270</v>
      </c>
      <c r="B323">
        <v>150</v>
      </c>
    </row>
    <row r="324" spans="1:2">
      <c r="A324" t="s">
        <v>271</v>
      </c>
      <c r="B324">
        <v>110</v>
      </c>
    </row>
    <row r="325" spans="1:2">
      <c r="A325" t="s">
        <v>272</v>
      </c>
      <c r="B325">
        <v>300</v>
      </c>
    </row>
    <row r="326" spans="1:2">
      <c r="A326" t="s">
        <v>273</v>
      </c>
      <c r="B326">
        <v>300</v>
      </c>
    </row>
    <row r="327" spans="1:2">
      <c r="A327" t="s">
        <v>274</v>
      </c>
      <c r="B327">
        <v>100</v>
      </c>
    </row>
    <row r="328" spans="1:2">
      <c r="A328" t="s">
        <v>275</v>
      </c>
      <c r="B328">
        <v>250</v>
      </c>
    </row>
    <row r="329" spans="1:2">
      <c r="A329" t="s">
        <v>276</v>
      </c>
      <c r="B329">
        <v>100</v>
      </c>
    </row>
    <row r="330" spans="1:2">
      <c r="A330" t="s">
        <v>277</v>
      </c>
      <c r="B330">
        <v>119</v>
      </c>
    </row>
    <row r="331" spans="1:2">
      <c r="A331" t="s">
        <v>278</v>
      </c>
      <c r="B331">
        <v>151</v>
      </c>
    </row>
    <row r="332" spans="1:2">
      <c r="A332" t="s">
        <v>279</v>
      </c>
      <c r="B332">
        <v>150</v>
      </c>
    </row>
    <row r="333" spans="1:2">
      <c r="A333" t="s">
        <v>280</v>
      </c>
      <c r="B333">
        <v>120</v>
      </c>
    </row>
    <row r="334" spans="1:2">
      <c r="A334" t="s">
        <v>281</v>
      </c>
      <c r="B334">
        <v>350</v>
      </c>
    </row>
    <row r="335" spans="1:2">
      <c r="A335" t="s">
        <v>282</v>
      </c>
      <c r="B335">
        <v>200</v>
      </c>
    </row>
    <row r="336" spans="1:2">
      <c r="A336" t="s">
        <v>283</v>
      </c>
      <c r="B336">
        <v>450</v>
      </c>
    </row>
    <row r="337" spans="1:2">
      <c r="A337" t="s">
        <v>284</v>
      </c>
      <c r="B337">
        <v>700</v>
      </c>
    </row>
    <row r="338" spans="1:2">
      <c r="A338" t="s">
        <v>285</v>
      </c>
      <c r="B338">
        <v>200</v>
      </c>
    </row>
    <row r="339" spans="1:2">
      <c r="A339" t="s">
        <v>286</v>
      </c>
      <c r="B339">
        <v>140</v>
      </c>
    </row>
    <row r="340" spans="1:2">
      <c r="A340" t="s">
        <v>287</v>
      </c>
      <c r="B340">
        <v>150</v>
      </c>
    </row>
    <row r="341" spans="1:2">
      <c r="A341" t="s">
        <v>288</v>
      </c>
      <c r="B341">
        <v>100</v>
      </c>
    </row>
    <row r="342" spans="1:2">
      <c r="A342" t="s">
        <v>289</v>
      </c>
      <c r="B342">
        <v>250</v>
      </c>
    </row>
    <row r="343" spans="1:2">
      <c r="A343" t="s">
        <v>290</v>
      </c>
      <c r="B343">
        <v>2210</v>
      </c>
    </row>
    <row r="344" spans="1:2">
      <c r="A344" t="s">
        <v>291</v>
      </c>
      <c r="B344">
        <v>100</v>
      </c>
    </row>
    <row r="345" spans="1:2">
      <c r="A345" t="s">
        <v>292</v>
      </c>
      <c r="B345">
        <v>113</v>
      </c>
    </row>
    <row r="346" spans="1:2">
      <c r="A346" t="s">
        <v>293</v>
      </c>
      <c r="B346">
        <v>160</v>
      </c>
    </row>
    <row r="347" spans="1:2">
      <c r="A347" t="s">
        <v>294</v>
      </c>
      <c r="B347">
        <v>200</v>
      </c>
    </row>
    <row r="348" spans="1:2">
      <c r="A348" t="s">
        <v>295</v>
      </c>
      <c r="B348">
        <v>350</v>
      </c>
    </row>
    <row r="349" spans="1:2">
      <c r="A349" t="s">
        <v>296</v>
      </c>
      <c r="B349">
        <v>100</v>
      </c>
    </row>
    <row r="350" spans="1:2">
      <c r="A350" t="s">
        <v>297</v>
      </c>
      <c r="B350">
        <v>2800</v>
      </c>
    </row>
    <row r="351" spans="1:2">
      <c r="A351" t="s">
        <v>298</v>
      </c>
      <c r="B351">
        <v>100</v>
      </c>
    </row>
    <row r="352" spans="1:2">
      <c r="A352" t="s">
        <v>299</v>
      </c>
      <c r="B352">
        <v>110</v>
      </c>
    </row>
    <row r="353" spans="1:2">
      <c r="A353" t="s">
        <v>300</v>
      </c>
      <c r="B353">
        <v>100</v>
      </c>
    </row>
    <row r="354" spans="1:2">
      <c r="A354" t="s">
        <v>301</v>
      </c>
      <c r="B354">
        <v>350</v>
      </c>
    </row>
    <row r="355" spans="1:2">
      <c r="A355" t="s">
        <v>302</v>
      </c>
      <c r="B355">
        <v>1034</v>
      </c>
    </row>
    <row r="356" spans="1:2">
      <c r="A356" t="s">
        <v>303</v>
      </c>
      <c r="B356">
        <v>150</v>
      </c>
    </row>
  </sheetData>
  <pageMargins left="0.7" right="0.7" top="0.75" bottom="0.75" header="0.3" footer="0.3"/>
  <pageSetup paperSize="1" orientation="portrait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62"/>
  <sheetViews>
    <sheetView workbookViewId="0">
      <pane ySplit="1" topLeftCell="A2" activePane="bottomLeft" state="frozen"/>
      <selection/>
      <selection pane="bottomLeft" activeCell="B1362" sqref="B1362"/>
    </sheetView>
  </sheetViews>
  <sheetFormatPr defaultColWidth="8.8" defaultRowHeight="12.75" outlineLevelCol="6"/>
  <cols>
    <col min="1" max="1" width="39.3333333333333" style="1" customWidth="1"/>
    <col min="2" max="2" width="26" style="1" customWidth="1"/>
    <col min="3" max="3" width="16.4666666666667" style="1" customWidth="1"/>
    <col min="4" max="4" width="14.0666666666667" style="1" customWidth="1"/>
    <col min="5" max="5" width="6.8" style="1" customWidth="1"/>
    <col min="6" max="6" width="14.9333333333333" style="1" customWidth="1"/>
    <col min="7" max="7" width="18.8" style="1" customWidth="1"/>
    <col min="8" max="16384" width="8.8" style="1"/>
  </cols>
  <sheetData>
    <row r="1" ht="80.25" customHeight="1" spans="1:7">
      <c r="A1" s="1" t="s">
        <v>184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204</v>
      </c>
    </row>
    <row r="2" spans="1:7">
      <c r="A2" s="1" t="s">
        <v>337</v>
      </c>
      <c r="B2" s="1" t="s">
        <v>338</v>
      </c>
      <c r="C2" s="1" t="s">
        <v>339</v>
      </c>
      <c r="D2" s="1" t="s">
        <v>340</v>
      </c>
      <c r="E2" s="1" t="s">
        <v>341</v>
      </c>
      <c r="F2" s="1" t="s">
        <v>342</v>
      </c>
      <c r="G2" s="1">
        <v>150</v>
      </c>
    </row>
    <row r="3" spans="1:7">
      <c r="A3" s="1" t="s">
        <v>343</v>
      </c>
      <c r="B3" s="1" t="s">
        <v>344</v>
      </c>
      <c r="C3" s="1" t="s">
        <v>345</v>
      </c>
      <c r="D3" s="1" t="s">
        <v>340</v>
      </c>
      <c r="E3" s="1" t="s">
        <v>346</v>
      </c>
      <c r="F3" s="1" t="s">
        <v>347</v>
      </c>
      <c r="G3" s="1">
        <v>140</v>
      </c>
    </row>
    <row r="4" spans="1:7">
      <c r="A4" s="1" t="s">
        <v>205</v>
      </c>
      <c r="B4" s="1" t="s">
        <v>348</v>
      </c>
      <c r="C4" s="1" t="s">
        <v>349</v>
      </c>
      <c r="D4" s="1" t="s">
        <v>64</v>
      </c>
      <c r="E4" s="1" t="s">
        <v>350</v>
      </c>
      <c r="F4" s="1" t="s">
        <v>351</v>
      </c>
      <c r="G4" s="1">
        <v>200</v>
      </c>
    </row>
    <row r="5" spans="1:7">
      <c r="A5" s="1" t="s">
        <v>352</v>
      </c>
      <c r="B5" s="1" t="s">
        <v>353</v>
      </c>
      <c r="C5" s="1" t="s">
        <v>354</v>
      </c>
      <c r="D5" s="1" t="s">
        <v>355</v>
      </c>
      <c r="E5" s="1" t="s">
        <v>356</v>
      </c>
      <c r="F5" s="1" t="s">
        <v>357</v>
      </c>
      <c r="G5" s="1">
        <v>240</v>
      </c>
    </row>
    <row r="6" spans="1:7">
      <c r="A6" s="1" t="s">
        <v>358</v>
      </c>
      <c r="B6" s="1" t="s">
        <v>359</v>
      </c>
      <c r="C6" s="1" t="s">
        <v>339</v>
      </c>
      <c r="D6" s="1" t="s">
        <v>340</v>
      </c>
      <c r="E6" s="1" t="s">
        <v>341</v>
      </c>
      <c r="F6" s="1" t="s">
        <v>342</v>
      </c>
      <c r="G6" s="1">
        <v>100</v>
      </c>
    </row>
    <row r="7" spans="1:7">
      <c r="A7" s="1" t="s">
        <v>360</v>
      </c>
      <c r="B7" s="1" t="s">
        <v>361</v>
      </c>
      <c r="C7" s="1" t="s">
        <v>362</v>
      </c>
      <c r="D7" s="1" t="s">
        <v>340</v>
      </c>
      <c r="E7" s="1" t="s">
        <v>363</v>
      </c>
      <c r="F7" s="1" t="s">
        <v>364</v>
      </c>
      <c r="G7" s="1">
        <v>120</v>
      </c>
    </row>
    <row r="8" spans="1:7">
      <c r="A8" s="1" t="s">
        <v>365</v>
      </c>
      <c r="B8" s="1" t="s">
        <v>366</v>
      </c>
      <c r="C8" s="1" t="s">
        <v>339</v>
      </c>
      <c r="D8" s="1" t="s">
        <v>340</v>
      </c>
      <c r="E8" s="1">
        <v>28625</v>
      </c>
      <c r="F8" s="1" t="s">
        <v>342</v>
      </c>
      <c r="G8" s="1">
        <v>100</v>
      </c>
    </row>
    <row r="9" spans="1:7">
      <c r="A9" s="1" t="s">
        <v>367</v>
      </c>
      <c r="B9" s="1" t="s">
        <v>368</v>
      </c>
      <c r="C9" s="1" t="s">
        <v>369</v>
      </c>
      <c r="D9" s="1" t="s">
        <v>70</v>
      </c>
      <c r="E9" s="1" t="s">
        <v>370</v>
      </c>
      <c r="F9" s="1" t="s">
        <v>357</v>
      </c>
      <c r="G9" s="1">
        <v>210</v>
      </c>
    </row>
    <row r="10" spans="1:7">
      <c r="A10" s="1" t="s">
        <v>371</v>
      </c>
      <c r="B10" s="1" t="s">
        <v>372</v>
      </c>
      <c r="C10" s="1" t="s">
        <v>339</v>
      </c>
      <c r="D10" s="1" t="s">
        <v>340</v>
      </c>
      <c r="E10" s="1" t="s">
        <v>373</v>
      </c>
      <c r="F10" s="1" t="s">
        <v>342</v>
      </c>
      <c r="G10" s="1">
        <v>200</v>
      </c>
    </row>
    <row r="11" spans="1:7">
      <c r="A11" s="1" t="s">
        <v>374</v>
      </c>
      <c r="B11" s="1" t="s">
        <v>375</v>
      </c>
      <c r="C11" s="1" t="s">
        <v>339</v>
      </c>
      <c r="D11" s="1" t="s">
        <v>340</v>
      </c>
      <c r="E11" s="1" t="s">
        <v>376</v>
      </c>
      <c r="F11" s="1" t="s">
        <v>342</v>
      </c>
      <c r="G11" s="1">
        <v>150</v>
      </c>
    </row>
    <row r="12" spans="1:7">
      <c r="A12" s="1" t="s">
        <v>377</v>
      </c>
      <c r="B12" s="1" t="s">
        <v>378</v>
      </c>
      <c r="C12" s="1" t="s">
        <v>379</v>
      </c>
      <c r="D12" s="1" t="s">
        <v>340</v>
      </c>
      <c r="E12" s="1" t="s">
        <v>380</v>
      </c>
      <c r="F12" s="1" t="s">
        <v>381</v>
      </c>
      <c r="G12" s="1">
        <v>180</v>
      </c>
    </row>
    <row r="13" spans="1:7">
      <c r="A13" s="1" t="s">
        <v>382</v>
      </c>
      <c r="B13" s="1" t="s">
        <v>383</v>
      </c>
      <c r="C13" s="1" t="s">
        <v>339</v>
      </c>
      <c r="D13" s="1" t="s">
        <v>340</v>
      </c>
      <c r="E13" s="1" t="s">
        <v>384</v>
      </c>
      <c r="F13" s="1" t="s">
        <v>342</v>
      </c>
      <c r="G13" s="1">
        <v>250</v>
      </c>
    </row>
    <row r="14" spans="1:7">
      <c r="A14" s="1" t="s">
        <v>385</v>
      </c>
      <c r="B14" s="1" t="s">
        <v>386</v>
      </c>
      <c r="C14" s="1" t="s">
        <v>339</v>
      </c>
      <c r="D14" s="1" t="s">
        <v>340</v>
      </c>
      <c r="E14" s="1" t="s">
        <v>387</v>
      </c>
      <c r="F14" s="1" t="s">
        <v>357</v>
      </c>
      <c r="G14" s="1">
        <v>5000</v>
      </c>
    </row>
    <row r="15" spans="1:7">
      <c r="A15" s="1" t="s">
        <v>388</v>
      </c>
      <c r="B15" s="1" t="s">
        <v>389</v>
      </c>
      <c r="C15" s="1" t="s">
        <v>339</v>
      </c>
      <c r="D15" s="1" t="s">
        <v>340</v>
      </c>
      <c r="E15" s="1" t="s">
        <v>390</v>
      </c>
      <c r="F15" s="1" t="s">
        <v>342</v>
      </c>
      <c r="G15" s="1">
        <v>300</v>
      </c>
    </row>
    <row r="16" spans="1:7">
      <c r="A16" s="1" t="s">
        <v>391</v>
      </c>
      <c r="B16" s="1" t="s">
        <v>392</v>
      </c>
      <c r="C16" s="1" t="s">
        <v>339</v>
      </c>
      <c r="D16" s="1" t="s">
        <v>340</v>
      </c>
      <c r="E16" s="1" t="s">
        <v>341</v>
      </c>
      <c r="F16" s="1" t="s">
        <v>342</v>
      </c>
      <c r="G16" s="1">
        <v>100</v>
      </c>
    </row>
    <row r="17" spans="1:7">
      <c r="A17" s="1" t="s">
        <v>393</v>
      </c>
      <c r="B17" s="1" t="s">
        <v>394</v>
      </c>
      <c r="C17" s="1" t="s">
        <v>339</v>
      </c>
      <c r="D17" s="1" t="s">
        <v>340</v>
      </c>
      <c r="E17" s="1" t="s">
        <v>384</v>
      </c>
      <c r="F17" s="1" t="s">
        <v>342</v>
      </c>
      <c r="G17" s="1">
        <v>200</v>
      </c>
    </row>
    <row r="18" spans="1:7">
      <c r="A18" s="1" t="s">
        <v>395</v>
      </c>
      <c r="B18" s="1" t="s">
        <v>396</v>
      </c>
      <c r="C18" s="1" t="s">
        <v>397</v>
      </c>
      <c r="D18" s="1" t="s">
        <v>340</v>
      </c>
      <c r="E18" s="1" t="s">
        <v>398</v>
      </c>
      <c r="F18" s="1" t="s">
        <v>342</v>
      </c>
      <c r="G18" s="1">
        <v>100</v>
      </c>
    </row>
    <row r="19" spans="1:7">
      <c r="A19" s="1" t="s">
        <v>399</v>
      </c>
      <c r="B19" s="1" t="s">
        <v>400</v>
      </c>
      <c r="C19" s="1" t="s">
        <v>401</v>
      </c>
      <c r="D19" s="1" t="s">
        <v>340</v>
      </c>
      <c r="E19" s="1" t="s">
        <v>402</v>
      </c>
      <c r="F19" s="1" t="s">
        <v>342</v>
      </c>
      <c r="G19" s="1">
        <v>283</v>
      </c>
    </row>
    <row r="20" spans="1:7">
      <c r="A20" s="1" t="s">
        <v>206</v>
      </c>
      <c r="B20" s="1" t="s">
        <v>403</v>
      </c>
      <c r="C20" s="1" t="s">
        <v>339</v>
      </c>
      <c r="D20" s="1" t="s">
        <v>340</v>
      </c>
      <c r="E20" s="1" t="s">
        <v>404</v>
      </c>
      <c r="F20" s="1" t="s">
        <v>342</v>
      </c>
      <c r="G20" s="1">
        <v>680</v>
      </c>
    </row>
    <row r="21" spans="1:7">
      <c r="A21" s="1" t="s">
        <v>207</v>
      </c>
      <c r="B21" s="1" t="s">
        <v>405</v>
      </c>
      <c r="C21" s="1" t="s">
        <v>345</v>
      </c>
      <c r="D21" s="1" t="s">
        <v>340</v>
      </c>
      <c r="E21" s="1" t="s">
        <v>346</v>
      </c>
      <c r="F21" s="1" t="s">
        <v>357</v>
      </c>
      <c r="G21" s="1">
        <v>1389</v>
      </c>
    </row>
    <row r="22" spans="1:7">
      <c r="A22" s="1" t="s">
        <v>406</v>
      </c>
      <c r="B22" s="1" t="s">
        <v>407</v>
      </c>
      <c r="C22" s="1" t="s">
        <v>408</v>
      </c>
      <c r="D22" s="1" t="s">
        <v>340</v>
      </c>
      <c r="E22" s="1" t="s">
        <v>409</v>
      </c>
      <c r="F22" s="1" t="s">
        <v>342</v>
      </c>
      <c r="G22" s="1">
        <v>100</v>
      </c>
    </row>
    <row r="23" spans="1:7">
      <c r="A23" s="1" t="s">
        <v>410</v>
      </c>
      <c r="B23" s="1" t="s">
        <v>411</v>
      </c>
      <c r="C23" s="1" t="s">
        <v>412</v>
      </c>
      <c r="D23" s="1" t="s">
        <v>340</v>
      </c>
      <c r="E23" s="1" t="s">
        <v>413</v>
      </c>
      <c r="F23" s="1" t="s">
        <v>414</v>
      </c>
      <c r="G23" s="1">
        <v>100</v>
      </c>
    </row>
    <row r="24" spans="1:7">
      <c r="A24" s="1" t="s">
        <v>415</v>
      </c>
      <c r="B24" s="1" t="s">
        <v>416</v>
      </c>
      <c r="C24" s="1" t="s">
        <v>417</v>
      </c>
      <c r="D24" s="1" t="s">
        <v>340</v>
      </c>
      <c r="E24" s="1" t="s">
        <v>418</v>
      </c>
      <c r="F24" s="1" t="s">
        <v>419</v>
      </c>
      <c r="G24" s="1">
        <v>130</v>
      </c>
    </row>
    <row r="25" spans="1:7">
      <c r="A25" s="1" t="s">
        <v>420</v>
      </c>
      <c r="B25" s="1" t="s">
        <v>421</v>
      </c>
      <c r="C25" s="1" t="s">
        <v>345</v>
      </c>
      <c r="D25" s="1" t="s">
        <v>340</v>
      </c>
      <c r="E25" s="1" t="s">
        <v>422</v>
      </c>
      <c r="F25" s="1" t="s">
        <v>347</v>
      </c>
      <c r="G25" s="1">
        <v>100</v>
      </c>
    </row>
    <row r="26" spans="1:7">
      <c r="A26" s="1" t="s">
        <v>423</v>
      </c>
      <c r="B26" s="1" t="s">
        <v>424</v>
      </c>
      <c r="C26" s="1" t="s">
        <v>425</v>
      </c>
      <c r="D26" s="1" t="s">
        <v>340</v>
      </c>
      <c r="E26" s="1" t="s">
        <v>426</v>
      </c>
      <c r="F26" s="1" t="s">
        <v>427</v>
      </c>
      <c r="G26" s="1">
        <v>130</v>
      </c>
    </row>
    <row r="27" spans="1:7">
      <c r="A27" s="1" t="s">
        <v>428</v>
      </c>
      <c r="B27" s="1" t="s">
        <v>429</v>
      </c>
      <c r="C27" s="1" t="s">
        <v>362</v>
      </c>
      <c r="D27" s="1" t="s">
        <v>340</v>
      </c>
      <c r="E27" s="1" t="s">
        <v>430</v>
      </c>
      <c r="F27" s="1" t="s">
        <v>364</v>
      </c>
      <c r="G27" s="1">
        <v>150</v>
      </c>
    </row>
    <row r="28" spans="1:7">
      <c r="A28" s="1" t="s">
        <v>431</v>
      </c>
      <c r="B28" s="1" t="s">
        <v>432</v>
      </c>
      <c r="C28" s="1" t="s">
        <v>339</v>
      </c>
      <c r="D28" s="1" t="s">
        <v>340</v>
      </c>
      <c r="E28" s="1" t="s">
        <v>433</v>
      </c>
      <c r="F28" s="1" t="s">
        <v>342</v>
      </c>
      <c r="G28" s="1">
        <v>275</v>
      </c>
    </row>
    <row r="29" spans="1:7">
      <c r="A29" s="1" t="s">
        <v>434</v>
      </c>
      <c r="B29" s="1" t="s">
        <v>435</v>
      </c>
      <c r="C29" s="1" t="s">
        <v>436</v>
      </c>
      <c r="D29" s="1" t="s">
        <v>340</v>
      </c>
      <c r="E29" s="1" t="s">
        <v>437</v>
      </c>
      <c r="F29" s="1" t="s">
        <v>357</v>
      </c>
      <c r="G29" s="1">
        <v>700</v>
      </c>
    </row>
    <row r="30" spans="1:7">
      <c r="A30" s="1" t="s">
        <v>438</v>
      </c>
      <c r="B30" s="1" t="s">
        <v>439</v>
      </c>
      <c r="C30" s="1" t="s">
        <v>440</v>
      </c>
      <c r="D30" s="1" t="s">
        <v>340</v>
      </c>
      <c r="E30" s="1" t="s">
        <v>441</v>
      </c>
      <c r="F30" s="1" t="s">
        <v>357</v>
      </c>
      <c r="G30" s="1">
        <v>1620</v>
      </c>
    </row>
    <row r="31" spans="1:7">
      <c r="A31" s="1" t="s">
        <v>442</v>
      </c>
      <c r="B31" s="1" t="s">
        <v>443</v>
      </c>
      <c r="C31" s="1" t="s">
        <v>339</v>
      </c>
      <c r="D31" s="1" t="s">
        <v>340</v>
      </c>
      <c r="E31" s="1" t="s">
        <v>444</v>
      </c>
      <c r="F31" s="1" t="s">
        <v>342</v>
      </c>
      <c r="G31" s="1">
        <v>400</v>
      </c>
    </row>
    <row r="32" spans="1:7">
      <c r="A32" s="1" t="s">
        <v>445</v>
      </c>
      <c r="B32" s="1" t="s">
        <v>446</v>
      </c>
      <c r="C32" s="1" t="s">
        <v>447</v>
      </c>
      <c r="D32" s="1" t="s">
        <v>340</v>
      </c>
      <c r="E32" s="1" t="s">
        <v>448</v>
      </c>
      <c r="F32" s="1" t="s">
        <v>449</v>
      </c>
      <c r="G32" s="1">
        <v>326</v>
      </c>
    </row>
    <row r="33" spans="1:7">
      <c r="A33" s="1" t="s">
        <v>450</v>
      </c>
      <c r="B33" s="1" t="s">
        <v>451</v>
      </c>
      <c r="C33" s="1" t="s">
        <v>447</v>
      </c>
      <c r="D33" s="1" t="s">
        <v>340</v>
      </c>
      <c r="E33" s="1" t="s">
        <v>448</v>
      </c>
      <c r="F33" s="1" t="s">
        <v>449</v>
      </c>
      <c r="G33" s="1">
        <v>900</v>
      </c>
    </row>
    <row r="34" spans="1:7">
      <c r="A34" s="1" t="s">
        <v>452</v>
      </c>
      <c r="B34" s="1" t="s">
        <v>453</v>
      </c>
      <c r="C34" s="1" t="s">
        <v>339</v>
      </c>
      <c r="D34" s="1" t="s">
        <v>340</v>
      </c>
      <c r="E34" s="1" t="s">
        <v>454</v>
      </c>
      <c r="F34" s="1" t="s">
        <v>342</v>
      </c>
      <c r="G34" s="1">
        <v>1500</v>
      </c>
    </row>
    <row r="35" spans="1:7">
      <c r="A35" s="1" t="s">
        <v>455</v>
      </c>
      <c r="B35" s="1" t="s">
        <v>456</v>
      </c>
      <c r="C35" s="1" t="s">
        <v>339</v>
      </c>
      <c r="D35" s="1" t="s">
        <v>340</v>
      </c>
      <c r="E35" s="1" t="s">
        <v>457</v>
      </c>
      <c r="F35" s="1" t="s">
        <v>342</v>
      </c>
      <c r="G35" s="1">
        <v>875</v>
      </c>
    </row>
    <row r="36" spans="1:7">
      <c r="A36" s="1" t="s">
        <v>458</v>
      </c>
      <c r="B36" s="1" t="s">
        <v>459</v>
      </c>
      <c r="C36" s="1" t="s">
        <v>460</v>
      </c>
      <c r="D36" s="1" t="s">
        <v>340</v>
      </c>
      <c r="E36" s="1" t="s">
        <v>461</v>
      </c>
      <c r="F36" s="1" t="s">
        <v>342</v>
      </c>
      <c r="G36" s="1">
        <v>140</v>
      </c>
    </row>
    <row r="37" spans="1:7">
      <c r="A37" s="1" t="s">
        <v>462</v>
      </c>
      <c r="B37" s="1" t="s">
        <v>463</v>
      </c>
      <c r="C37" s="1" t="s">
        <v>339</v>
      </c>
      <c r="D37" s="1" t="s">
        <v>340</v>
      </c>
      <c r="E37" s="1" t="s">
        <v>464</v>
      </c>
      <c r="F37" s="1" t="s">
        <v>342</v>
      </c>
      <c r="G37" s="1">
        <v>180</v>
      </c>
    </row>
    <row r="38" spans="1:7">
      <c r="A38" s="1" t="s">
        <v>465</v>
      </c>
      <c r="B38" s="1" t="s">
        <v>466</v>
      </c>
      <c r="C38" s="1" t="s">
        <v>467</v>
      </c>
      <c r="D38" s="1" t="s">
        <v>64</v>
      </c>
      <c r="E38" s="1" t="s">
        <v>468</v>
      </c>
      <c r="F38" s="1" t="s">
        <v>357</v>
      </c>
      <c r="G38" s="1">
        <v>135</v>
      </c>
    </row>
    <row r="39" spans="1:7">
      <c r="A39" s="1" t="s">
        <v>469</v>
      </c>
      <c r="B39" s="1" t="s">
        <v>470</v>
      </c>
      <c r="C39" s="1" t="s">
        <v>339</v>
      </c>
      <c r="D39" s="1" t="s">
        <v>340</v>
      </c>
      <c r="E39" s="1" t="s">
        <v>471</v>
      </c>
      <c r="F39" s="1" t="s">
        <v>357</v>
      </c>
      <c r="G39" s="1">
        <v>1000</v>
      </c>
    </row>
    <row r="40" spans="1:7">
      <c r="A40" s="1" t="s">
        <v>472</v>
      </c>
      <c r="B40" s="1" t="s">
        <v>473</v>
      </c>
      <c r="C40" s="1" t="s">
        <v>401</v>
      </c>
      <c r="D40" s="1" t="s">
        <v>340</v>
      </c>
      <c r="E40" s="1" t="s">
        <v>474</v>
      </c>
      <c r="F40" s="1" t="s">
        <v>342</v>
      </c>
      <c r="G40" s="1">
        <v>1800</v>
      </c>
    </row>
    <row r="41" spans="1:7">
      <c r="A41" s="1" t="s">
        <v>475</v>
      </c>
      <c r="B41" s="1" t="s">
        <v>476</v>
      </c>
      <c r="C41" s="1" t="s">
        <v>339</v>
      </c>
      <c r="D41" s="1" t="s">
        <v>340</v>
      </c>
      <c r="E41" s="1" t="s">
        <v>477</v>
      </c>
      <c r="F41" s="1" t="s">
        <v>342</v>
      </c>
      <c r="G41" s="1">
        <v>198</v>
      </c>
    </row>
    <row r="42" spans="1:7">
      <c r="A42" s="1" t="s">
        <v>478</v>
      </c>
      <c r="B42" s="1" t="s">
        <v>479</v>
      </c>
      <c r="C42" s="1" t="s">
        <v>339</v>
      </c>
      <c r="D42" s="1" t="s">
        <v>340</v>
      </c>
      <c r="E42" s="1" t="s">
        <v>480</v>
      </c>
      <c r="F42" s="1" t="s">
        <v>342</v>
      </c>
      <c r="G42" s="1">
        <v>180</v>
      </c>
    </row>
    <row r="43" spans="1:7">
      <c r="A43" s="1" t="s">
        <v>481</v>
      </c>
      <c r="B43" s="1" t="s">
        <v>482</v>
      </c>
      <c r="C43" s="1" t="s">
        <v>467</v>
      </c>
      <c r="D43" s="1" t="s">
        <v>64</v>
      </c>
      <c r="E43" s="1" t="s">
        <v>483</v>
      </c>
      <c r="F43" s="1" t="s">
        <v>351</v>
      </c>
      <c r="G43" s="1">
        <v>200</v>
      </c>
    </row>
    <row r="44" spans="1:7">
      <c r="A44" s="1" t="s">
        <v>484</v>
      </c>
      <c r="B44" s="1" t="s">
        <v>485</v>
      </c>
      <c r="C44" s="1" t="s">
        <v>486</v>
      </c>
      <c r="D44" s="1" t="s">
        <v>340</v>
      </c>
      <c r="E44" s="1" t="s">
        <v>487</v>
      </c>
      <c r="F44" s="1" t="s">
        <v>357</v>
      </c>
      <c r="G44" s="1">
        <v>1200</v>
      </c>
    </row>
    <row r="45" spans="1:7">
      <c r="A45" s="1" t="s">
        <v>488</v>
      </c>
      <c r="B45" s="1" t="s">
        <v>489</v>
      </c>
      <c r="C45" s="1" t="s">
        <v>351</v>
      </c>
      <c r="D45" s="1" t="s">
        <v>64</v>
      </c>
      <c r="E45" s="1" t="s">
        <v>490</v>
      </c>
      <c r="F45" s="1" t="s">
        <v>351</v>
      </c>
      <c r="G45" s="1">
        <v>300</v>
      </c>
    </row>
    <row r="46" spans="1:7">
      <c r="A46" s="1" t="s">
        <v>491</v>
      </c>
      <c r="B46" s="1" t="s">
        <v>492</v>
      </c>
      <c r="C46" s="1" t="s">
        <v>425</v>
      </c>
      <c r="D46" s="1" t="s">
        <v>340</v>
      </c>
      <c r="E46" s="1" t="s">
        <v>426</v>
      </c>
      <c r="F46" s="1" t="s">
        <v>427</v>
      </c>
      <c r="G46" s="1">
        <v>200</v>
      </c>
    </row>
    <row r="47" spans="1:7">
      <c r="A47" s="2" t="s">
        <v>493</v>
      </c>
      <c r="B47" s="1" t="s">
        <v>494</v>
      </c>
      <c r="C47" s="1" t="s">
        <v>339</v>
      </c>
      <c r="D47" s="1" t="s">
        <v>340</v>
      </c>
      <c r="E47" s="1" t="s">
        <v>495</v>
      </c>
      <c r="F47" s="1" t="s">
        <v>342</v>
      </c>
      <c r="G47" s="1">
        <v>1000</v>
      </c>
    </row>
    <row r="48" spans="1:7">
      <c r="A48" s="1" t="s">
        <v>496</v>
      </c>
      <c r="B48" s="1" t="s">
        <v>497</v>
      </c>
      <c r="C48" s="1" t="s">
        <v>498</v>
      </c>
      <c r="D48" s="1" t="s">
        <v>340</v>
      </c>
      <c r="E48" s="1" t="s">
        <v>499</v>
      </c>
      <c r="F48" s="1" t="s">
        <v>449</v>
      </c>
      <c r="G48" s="1">
        <v>104</v>
      </c>
    </row>
    <row r="49" spans="1:7">
      <c r="A49" s="1" t="s">
        <v>500</v>
      </c>
      <c r="B49" s="1" t="s">
        <v>482</v>
      </c>
      <c r="C49" s="1" t="s">
        <v>501</v>
      </c>
      <c r="D49" s="1" t="s">
        <v>340</v>
      </c>
      <c r="E49" s="1" t="s">
        <v>502</v>
      </c>
      <c r="F49" s="1" t="s">
        <v>364</v>
      </c>
      <c r="G49" s="1">
        <v>100</v>
      </c>
    </row>
    <row r="50" spans="1:7">
      <c r="A50" s="1" t="s">
        <v>503</v>
      </c>
      <c r="B50" s="1" t="s">
        <v>504</v>
      </c>
      <c r="C50" s="1" t="s">
        <v>460</v>
      </c>
      <c r="D50" s="1" t="s">
        <v>340</v>
      </c>
      <c r="E50" s="1" t="s">
        <v>505</v>
      </c>
      <c r="F50" s="1" t="s">
        <v>342</v>
      </c>
      <c r="G50" s="1">
        <v>300</v>
      </c>
    </row>
    <row r="51" spans="1:7">
      <c r="A51" s="1" t="s">
        <v>506</v>
      </c>
      <c r="B51" s="1" t="s">
        <v>507</v>
      </c>
      <c r="C51" s="1" t="s">
        <v>339</v>
      </c>
      <c r="D51" s="1" t="s">
        <v>340</v>
      </c>
      <c r="E51" s="1" t="s">
        <v>508</v>
      </c>
      <c r="F51" s="1" t="s">
        <v>342</v>
      </c>
      <c r="G51" s="1">
        <v>150</v>
      </c>
    </row>
    <row r="52" spans="1:7">
      <c r="A52" s="1" t="s">
        <v>509</v>
      </c>
      <c r="B52" s="1" t="s">
        <v>510</v>
      </c>
      <c r="C52" s="1" t="s">
        <v>511</v>
      </c>
      <c r="D52" s="1" t="s">
        <v>340</v>
      </c>
      <c r="E52" s="1" t="s">
        <v>512</v>
      </c>
      <c r="F52" s="1" t="s">
        <v>513</v>
      </c>
      <c r="G52" s="1">
        <v>100</v>
      </c>
    </row>
    <row r="53" spans="1:7">
      <c r="A53" s="1" t="s">
        <v>514</v>
      </c>
      <c r="B53" s="1" t="s">
        <v>515</v>
      </c>
      <c r="C53" s="1" t="s">
        <v>460</v>
      </c>
      <c r="D53" s="1" t="s">
        <v>340</v>
      </c>
      <c r="E53" s="1" t="s">
        <v>461</v>
      </c>
      <c r="F53" s="1" t="s">
        <v>342</v>
      </c>
      <c r="G53" s="1">
        <v>400</v>
      </c>
    </row>
    <row r="54" spans="1:7">
      <c r="A54" s="1" t="s">
        <v>201</v>
      </c>
      <c r="B54" s="1" t="s">
        <v>516</v>
      </c>
      <c r="C54" s="1" t="s">
        <v>362</v>
      </c>
      <c r="D54" s="1" t="s">
        <v>340</v>
      </c>
      <c r="E54" s="1" t="s">
        <v>430</v>
      </c>
      <c r="F54" s="1" t="s">
        <v>364</v>
      </c>
      <c r="G54" s="1">
        <v>100</v>
      </c>
    </row>
    <row r="55" spans="1:7">
      <c r="A55" s="1" t="s">
        <v>201</v>
      </c>
      <c r="B55" s="1" t="s">
        <v>517</v>
      </c>
      <c r="C55" s="1" t="s">
        <v>362</v>
      </c>
      <c r="D55" s="1" t="s">
        <v>340</v>
      </c>
      <c r="E55" s="1" t="s">
        <v>518</v>
      </c>
      <c r="F55" s="1" t="s">
        <v>364</v>
      </c>
      <c r="G55" s="1">
        <v>225</v>
      </c>
    </row>
    <row r="56" spans="1:7">
      <c r="A56" s="1" t="s">
        <v>519</v>
      </c>
      <c r="B56" s="1" t="s">
        <v>520</v>
      </c>
      <c r="C56" s="1" t="s">
        <v>339</v>
      </c>
      <c r="D56" s="1" t="s">
        <v>340</v>
      </c>
      <c r="E56" s="1" t="s">
        <v>521</v>
      </c>
      <c r="F56" s="1" t="s">
        <v>342</v>
      </c>
      <c r="G56" s="1">
        <v>180</v>
      </c>
    </row>
    <row r="57" spans="1:7">
      <c r="A57" s="1" t="s">
        <v>522</v>
      </c>
      <c r="B57" s="1" t="s">
        <v>523</v>
      </c>
      <c r="C57" s="1" t="s">
        <v>524</v>
      </c>
      <c r="D57" s="1" t="s">
        <v>340</v>
      </c>
      <c r="E57" s="1" t="s">
        <v>525</v>
      </c>
      <c r="F57" s="1" t="s">
        <v>526</v>
      </c>
      <c r="G57" s="1">
        <v>250</v>
      </c>
    </row>
    <row r="58" spans="1:7">
      <c r="A58" s="1" t="s">
        <v>527</v>
      </c>
      <c r="B58" s="1" t="s">
        <v>528</v>
      </c>
      <c r="C58" s="1" t="s">
        <v>524</v>
      </c>
      <c r="D58" s="1" t="s">
        <v>340</v>
      </c>
      <c r="E58" s="1" t="s">
        <v>525</v>
      </c>
      <c r="F58" s="1" t="s">
        <v>526</v>
      </c>
      <c r="G58" s="1">
        <v>654</v>
      </c>
    </row>
    <row r="59" spans="1:7">
      <c r="A59" s="1" t="s">
        <v>529</v>
      </c>
      <c r="B59" s="1" t="s">
        <v>530</v>
      </c>
      <c r="C59" s="1" t="s">
        <v>531</v>
      </c>
      <c r="D59" s="1" t="s">
        <v>64</v>
      </c>
      <c r="E59" s="1" t="s">
        <v>532</v>
      </c>
      <c r="F59" s="1" t="s">
        <v>533</v>
      </c>
      <c r="G59" s="1">
        <v>498</v>
      </c>
    </row>
    <row r="60" spans="1:7">
      <c r="A60" s="1" t="s">
        <v>534</v>
      </c>
      <c r="B60" s="1" t="s">
        <v>535</v>
      </c>
      <c r="C60" s="1" t="s">
        <v>511</v>
      </c>
      <c r="D60" s="1" t="s">
        <v>340</v>
      </c>
      <c r="E60" s="1" t="s">
        <v>536</v>
      </c>
      <c r="F60" s="1" t="s">
        <v>513</v>
      </c>
      <c r="G60" s="1">
        <v>150</v>
      </c>
    </row>
    <row r="61" spans="1:7">
      <c r="A61" s="1" t="s">
        <v>537</v>
      </c>
      <c r="B61" s="1" t="s">
        <v>538</v>
      </c>
      <c r="C61" s="1" t="s">
        <v>339</v>
      </c>
      <c r="D61" s="1" t="s">
        <v>340</v>
      </c>
      <c r="E61" s="1" t="s">
        <v>390</v>
      </c>
      <c r="F61" s="1" t="s">
        <v>342</v>
      </c>
      <c r="G61" s="1">
        <v>280</v>
      </c>
    </row>
    <row r="62" spans="1:7">
      <c r="A62" s="1" t="s">
        <v>539</v>
      </c>
      <c r="B62" s="1" t="s">
        <v>540</v>
      </c>
      <c r="C62" s="1" t="s">
        <v>541</v>
      </c>
      <c r="D62" s="1" t="s">
        <v>542</v>
      </c>
      <c r="E62" s="1" t="s">
        <v>543</v>
      </c>
      <c r="F62" s="1" t="s">
        <v>357</v>
      </c>
      <c r="G62" s="1">
        <v>840</v>
      </c>
    </row>
    <row r="63" spans="1:7">
      <c r="A63" s="1" t="s">
        <v>544</v>
      </c>
      <c r="B63" s="1" t="s">
        <v>545</v>
      </c>
      <c r="C63" s="1" t="s">
        <v>467</v>
      </c>
      <c r="D63" s="1" t="s">
        <v>64</v>
      </c>
      <c r="E63" s="1" t="s">
        <v>546</v>
      </c>
      <c r="F63" s="1" t="s">
        <v>351</v>
      </c>
      <c r="G63" s="1">
        <v>120</v>
      </c>
    </row>
    <row r="64" spans="1:7">
      <c r="A64" s="1" t="s">
        <v>547</v>
      </c>
      <c r="B64" s="1" t="s">
        <v>548</v>
      </c>
      <c r="C64" s="1" t="s">
        <v>339</v>
      </c>
      <c r="D64" s="1" t="s">
        <v>340</v>
      </c>
      <c r="E64" s="1" t="s">
        <v>508</v>
      </c>
      <c r="F64" s="1" t="s">
        <v>342</v>
      </c>
      <c r="G64" s="1">
        <v>160</v>
      </c>
    </row>
    <row r="65" spans="1:7">
      <c r="A65" s="1" t="s">
        <v>549</v>
      </c>
      <c r="B65" s="1" t="s">
        <v>550</v>
      </c>
      <c r="C65" s="1" t="s">
        <v>339</v>
      </c>
      <c r="D65" s="1" t="s">
        <v>340</v>
      </c>
      <c r="E65" s="1" t="s">
        <v>471</v>
      </c>
      <c r="F65" s="1" t="s">
        <v>342</v>
      </c>
      <c r="G65" s="1">
        <v>550</v>
      </c>
    </row>
    <row r="66" spans="1:7">
      <c r="A66" s="1" t="s">
        <v>551</v>
      </c>
      <c r="B66" s="1" t="s">
        <v>552</v>
      </c>
      <c r="C66" s="1" t="s">
        <v>401</v>
      </c>
      <c r="D66" s="1" t="s">
        <v>340</v>
      </c>
      <c r="E66" s="1" t="s">
        <v>553</v>
      </c>
      <c r="F66" s="1" t="s">
        <v>342</v>
      </c>
      <c r="G66" s="1">
        <v>120</v>
      </c>
    </row>
    <row r="67" spans="1:7">
      <c r="A67" s="1" t="s">
        <v>554</v>
      </c>
      <c r="B67" s="1" t="s">
        <v>555</v>
      </c>
      <c r="C67" s="1" t="s">
        <v>556</v>
      </c>
      <c r="D67" s="1" t="s">
        <v>340</v>
      </c>
      <c r="E67" s="1" t="s">
        <v>557</v>
      </c>
      <c r="F67" s="1" t="s">
        <v>558</v>
      </c>
      <c r="G67" s="1">
        <v>125</v>
      </c>
    </row>
    <row r="68" spans="1:7">
      <c r="A68" s="1" t="s">
        <v>559</v>
      </c>
      <c r="B68" s="1" t="s">
        <v>560</v>
      </c>
      <c r="C68" s="1" t="s">
        <v>362</v>
      </c>
      <c r="D68" s="1" t="s">
        <v>340</v>
      </c>
      <c r="E68" s="1" t="s">
        <v>518</v>
      </c>
      <c r="F68" s="1" t="s">
        <v>364</v>
      </c>
      <c r="G68" s="1">
        <v>150</v>
      </c>
    </row>
    <row r="69" spans="1:7">
      <c r="A69" s="1" t="s">
        <v>561</v>
      </c>
      <c r="B69" s="1" t="s">
        <v>562</v>
      </c>
      <c r="C69" s="1" t="s">
        <v>563</v>
      </c>
      <c r="D69" s="1" t="s">
        <v>340</v>
      </c>
      <c r="E69" s="1" t="s">
        <v>564</v>
      </c>
      <c r="F69" s="1" t="s">
        <v>565</v>
      </c>
      <c r="G69" s="1">
        <v>180</v>
      </c>
    </row>
    <row r="70" spans="1:7">
      <c r="A70" s="1" t="s">
        <v>208</v>
      </c>
      <c r="B70" s="1" t="s">
        <v>566</v>
      </c>
      <c r="C70" s="1" t="s">
        <v>345</v>
      </c>
      <c r="D70" s="1" t="s">
        <v>340</v>
      </c>
      <c r="E70" s="1" t="s">
        <v>567</v>
      </c>
      <c r="F70" s="1" t="s">
        <v>347</v>
      </c>
      <c r="G70" s="1">
        <v>111</v>
      </c>
    </row>
    <row r="71" spans="1:7">
      <c r="A71" s="1" t="s">
        <v>568</v>
      </c>
      <c r="B71" s="1" t="s">
        <v>569</v>
      </c>
      <c r="C71" s="1" t="s">
        <v>339</v>
      </c>
      <c r="D71" s="1" t="s">
        <v>340</v>
      </c>
      <c r="E71" s="1" t="s">
        <v>384</v>
      </c>
      <c r="F71" s="1" t="s">
        <v>342</v>
      </c>
      <c r="G71" s="1">
        <v>130</v>
      </c>
    </row>
    <row r="72" spans="1:7">
      <c r="A72" s="1" t="s">
        <v>209</v>
      </c>
      <c r="B72" s="1" t="s">
        <v>570</v>
      </c>
      <c r="C72" s="1" t="s">
        <v>351</v>
      </c>
      <c r="D72" s="1" t="s">
        <v>64</v>
      </c>
      <c r="E72" s="1" t="s">
        <v>490</v>
      </c>
      <c r="F72" s="1" t="s">
        <v>351</v>
      </c>
      <c r="G72" s="1">
        <v>350</v>
      </c>
    </row>
    <row r="73" spans="1:7">
      <c r="A73" s="1" t="s">
        <v>571</v>
      </c>
      <c r="B73" s="1" t="s">
        <v>572</v>
      </c>
      <c r="C73" s="1" t="s">
        <v>362</v>
      </c>
      <c r="D73" s="1" t="s">
        <v>340</v>
      </c>
      <c r="E73" s="1" t="s">
        <v>363</v>
      </c>
      <c r="F73" s="1" t="s">
        <v>364</v>
      </c>
      <c r="G73" s="1">
        <v>545</v>
      </c>
    </row>
    <row r="74" spans="1:7">
      <c r="A74" s="1" t="s">
        <v>573</v>
      </c>
      <c r="B74" s="1" t="s">
        <v>574</v>
      </c>
      <c r="C74" s="1" t="s">
        <v>339</v>
      </c>
      <c r="D74" s="1" t="s">
        <v>340</v>
      </c>
      <c r="E74" s="1" t="s">
        <v>384</v>
      </c>
      <c r="F74" s="1" t="s">
        <v>342</v>
      </c>
      <c r="G74" s="1">
        <v>100</v>
      </c>
    </row>
    <row r="75" spans="1:7">
      <c r="A75" s="1" t="s">
        <v>575</v>
      </c>
      <c r="B75" s="1" t="s">
        <v>576</v>
      </c>
      <c r="C75" s="1" t="s">
        <v>339</v>
      </c>
      <c r="D75" s="1" t="s">
        <v>340</v>
      </c>
      <c r="E75" s="1" t="s">
        <v>577</v>
      </c>
      <c r="F75" s="1" t="s">
        <v>342</v>
      </c>
      <c r="G75" s="1">
        <v>270</v>
      </c>
    </row>
    <row r="76" spans="1:7">
      <c r="A76" s="1" t="s">
        <v>578</v>
      </c>
      <c r="B76" s="1" t="s">
        <v>579</v>
      </c>
      <c r="C76" s="1" t="s">
        <v>339</v>
      </c>
      <c r="D76" s="1" t="s">
        <v>340</v>
      </c>
      <c r="E76" s="1" t="s">
        <v>580</v>
      </c>
      <c r="F76" s="1" t="s">
        <v>357</v>
      </c>
      <c r="G76" s="1">
        <v>3290</v>
      </c>
    </row>
    <row r="77" spans="1:7">
      <c r="A77" s="1" t="s">
        <v>210</v>
      </c>
      <c r="B77" s="1" t="s">
        <v>581</v>
      </c>
      <c r="C77" s="1" t="s">
        <v>582</v>
      </c>
      <c r="D77" s="1" t="s">
        <v>64</v>
      </c>
      <c r="E77" s="1" t="s">
        <v>583</v>
      </c>
      <c r="F77" s="1" t="s">
        <v>584</v>
      </c>
      <c r="G77" s="1">
        <v>160</v>
      </c>
    </row>
    <row r="78" spans="1:7">
      <c r="A78" s="1" t="s">
        <v>210</v>
      </c>
      <c r="B78" s="1" t="s">
        <v>585</v>
      </c>
      <c r="C78" s="1" t="s">
        <v>412</v>
      </c>
      <c r="D78" s="1" t="s">
        <v>340</v>
      </c>
      <c r="E78" s="1" t="s">
        <v>586</v>
      </c>
      <c r="F78" s="1" t="s">
        <v>414</v>
      </c>
      <c r="G78" s="1">
        <v>1090</v>
      </c>
    </row>
    <row r="79" spans="1:7">
      <c r="A79" s="1" t="s">
        <v>587</v>
      </c>
      <c r="B79" s="1" t="s">
        <v>588</v>
      </c>
      <c r="C79" s="1" t="s">
        <v>345</v>
      </c>
      <c r="D79" s="1" t="s">
        <v>340</v>
      </c>
      <c r="E79" s="1" t="s">
        <v>589</v>
      </c>
      <c r="F79" s="1" t="s">
        <v>347</v>
      </c>
      <c r="G79" s="1">
        <v>100</v>
      </c>
    </row>
    <row r="80" spans="1:7">
      <c r="A80" s="1" t="s">
        <v>590</v>
      </c>
      <c r="B80" s="1" t="s">
        <v>591</v>
      </c>
      <c r="C80" s="1" t="s">
        <v>349</v>
      </c>
      <c r="D80" s="1" t="s">
        <v>64</v>
      </c>
      <c r="E80" s="1" t="s">
        <v>350</v>
      </c>
      <c r="F80" s="1" t="s">
        <v>351</v>
      </c>
      <c r="G80" s="1">
        <v>200</v>
      </c>
    </row>
    <row r="81" spans="1:7">
      <c r="A81" s="1" t="s">
        <v>592</v>
      </c>
      <c r="B81" s="1" t="s">
        <v>593</v>
      </c>
      <c r="C81" s="1" t="s">
        <v>339</v>
      </c>
      <c r="D81" s="1" t="s">
        <v>340</v>
      </c>
      <c r="E81" s="1" t="s">
        <v>594</v>
      </c>
      <c r="F81" s="1" t="s">
        <v>342</v>
      </c>
      <c r="G81" s="1">
        <v>181</v>
      </c>
    </row>
    <row r="82" spans="1:7">
      <c r="A82" s="1" t="s">
        <v>595</v>
      </c>
      <c r="B82" s="1" t="s">
        <v>596</v>
      </c>
      <c r="C82" s="1" t="s">
        <v>397</v>
      </c>
      <c r="D82" s="1" t="s">
        <v>340</v>
      </c>
      <c r="E82" s="1" t="s">
        <v>398</v>
      </c>
      <c r="F82" s="1" t="s">
        <v>357</v>
      </c>
      <c r="G82" s="1">
        <v>100</v>
      </c>
    </row>
    <row r="83" spans="1:7">
      <c r="A83" s="1" t="s">
        <v>597</v>
      </c>
      <c r="B83" s="1" t="s">
        <v>598</v>
      </c>
      <c r="C83" s="1" t="s">
        <v>351</v>
      </c>
      <c r="D83" s="1" t="s">
        <v>64</v>
      </c>
      <c r="E83" s="1" t="s">
        <v>490</v>
      </c>
      <c r="F83" s="1" t="s">
        <v>351</v>
      </c>
      <c r="G83" s="1">
        <v>140</v>
      </c>
    </row>
    <row r="84" spans="1:7">
      <c r="A84" s="1" t="s">
        <v>599</v>
      </c>
      <c r="B84" s="1" t="s">
        <v>600</v>
      </c>
      <c r="C84" s="1" t="s">
        <v>339</v>
      </c>
      <c r="D84" s="1" t="s">
        <v>340</v>
      </c>
      <c r="E84" s="1" t="s">
        <v>594</v>
      </c>
      <c r="F84" s="1" t="s">
        <v>357</v>
      </c>
      <c r="G84" s="1">
        <v>600</v>
      </c>
    </row>
    <row r="85" spans="1:7">
      <c r="A85" s="1" t="s">
        <v>601</v>
      </c>
      <c r="B85" s="1" t="s">
        <v>602</v>
      </c>
      <c r="C85" s="1" t="s">
        <v>419</v>
      </c>
      <c r="D85" s="1" t="s">
        <v>340</v>
      </c>
      <c r="E85" s="1" t="s">
        <v>603</v>
      </c>
      <c r="F85" s="1" t="s">
        <v>565</v>
      </c>
      <c r="G85" s="1">
        <v>250</v>
      </c>
    </row>
    <row r="86" spans="1:7">
      <c r="A86" s="1" t="s">
        <v>604</v>
      </c>
      <c r="B86" s="1" t="s">
        <v>605</v>
      </c>
      <c r="C86" s="1" t="s">
        <v>606</v>
      </c>
      <c r="D86" s="1" t="s">
        <v>340</v>
      </c>
      <c r="E86" s="1" t="s">
        <v>607</v>
      </c>
      <c r="F86" s="1" t="s">
        <v>414</v>
      </c>
      <c r="G86" s="1">
        <v>140</v>
      </c>
    </row>
    <row r="87" spans="1:7">
      <c r="A87" s="1" t="s">
        <v>608</v>
      </c>
      <c r="B87" s="1" t="s">
        <v>609</v>
      </c>
      <c r="C87" s="1" t="s">
        <v>436</v>
      </c>
      <c r="D87" s="1" t="s">
        <v>340</v>
      </c>
      <c r="E87" s="1" t="s">
        <v>610</v>
      </c>
      <c r="F87" s="1" t="s">
        <v>565</v>
      </c>
      <c r="G87" s="1">
        <v>150</v>
      </c>
    </row>
    <row r="88" spans="1:7">
      <c r="A88" s="1" t="s">
        <v>611</v>
      </c>
      <c r="B88" s="1" t="s">
        <v>612</v>
      </c>
      <c r="C88" s="1" t="s">
        <v>339</v>
      </c>
      <c r="D88" s="1" t="s">
        <v>340</v>
      </c>
      <c r="E88" s="1" t="s">
        <v>613</v>
      </c>
      <c r="F88" s="1" t="s">
        <v>342</v>
      </c>
      <c r="G88" s="1">
        <v>140</v>
      </c>
    </row>
    <row r="89" spans="1:7">
      <c r="A89" s="1" t="s">
        <v>614</v>
      </c>
      <c r="B89" s="1" t="s">
        <v>615</v>
      </c>
      <c r="C89" s="1" t="s">
        <v>511</v>
      </c>
      <c r="D89" s="1" t="s">
        <v>340</v>
      </c>
      <c r="E89" s="1" t="s">
        <v>512</v>
      </c>
      <c r="F89" s="1" t="s">
        <v>513</v>
      </c>
      <c r="G89" s="1">
        <v>140</v>
      </c>
    </row>
    <row r="90" spans="1:7">
      <c r="A90" s="1" t="s">
        <v>616</v>
      </c>
      <c r="B90" s="1" t="s">
        <v>617</v>
      </c>
      <c r="C90" s="1" t="s">
        <v>339</v>
      </c>
      <c r="D90" s="1" t="s">
        <v>340</v>
      </c>
      <c r="E90" s="1" t="s">
        <v>480</v>
      </c>
      <c r="F90" s="1" t="s">
        <v>342</v>
      </c>
      <c r="G90" s="1">
        <v>208</v>
      </c>
    </row>
    <row r="91" spans="1:7">
      <c r="A91" s="1" t="s">
        <v>618</v>
      </c>
      <c r="B91" s="1" t="s">
        <v>619</v>
      </c>
      <c r="C91" s="1" t="s">
        <v>362</v>
      </c>
      <c r="D91" s="1" t="s">
        <v>340</v>
      </c>
      <c r="E91" s="1" t="s">
        <v>363</v>
      </c>
      <c r="F91" s="1" t="s">
        <v>364</v>
      </c>
      <c r="G91" s="1">
        <v>100</v>
      </c>
    </row>
    <row r="92" spans="1:7">
      <c r="A92" s="1" t="s">
        <v>620</v>
      </c>
      <c r="B92" s="1" t="s">
        <v>621</v>
      </c>
      <c r="C92" s="1" t="s">
        <v>339</v>
      </c>
      <c r="D92" s="1" t="s">
        <v>340</v>
      </c>
      <c r="E92" s="1" t="s">
        <v>622</v>
      </c>
      <c r="F92" s="1" t="s">
        <v>342</v>
      </c>
      <c r="G92" s="1">
        <v>500</v>
      </c>
    </row>
    <row r="93" spans="1:7">
      <c r="A93" s="1" t="s">
        <v>623</v>
      </c>
      <c r="B93" s="1" t="s">
        <v>624</v>
      </c>
      <c r="C93" s="1" t="s">
        <v>625</v>
      </c>
      <c r="D93" s="1" t="s">
        <v>340</v>
      </c>
      <c r="E93" s="1" t="s">
        <v>626</v>
      </c>
      <c r="F93" s="1" t="s">
        <v>419</v>
      </c>
      <c r="G93" s="1">
        <v>100</v>
      </c>
    </row>
    <row r="94" spans="1:7">
      <c r="A94" s="1" t="s">
        <v>627</v>
      </c>
      <c r="B94" s="1" t="s">
        <v>628</v>
      </c>
      <c r="C94" s="1" t="s">
        <v>339</v>
      </c>
      <c r="D94" s="1" t="s">
        <v>340</v>
      </c>
      <c r="E94" s="1" t="s">
        <v>629</v>
      </c>
      <c r="F94" s="1" t="s">
        <v>342</v>
      </c>
      <c r="G94" s="1">
        <v>109</v>
      </c>
    </row>
    <row r="95" spans="1:7">
      <c r="A95" s="1" t="s">
        <v>630</v>
      </c>
      <c r="B95" s="1" t="s">
        <v>631</v>
      </c>
      <c r="C95" s="1" t="s">
        <v>339</v>
      </c>
      <c r="D95" s="1" t="s">
        <v>340</v>
      </c>
      <c r="E95" s="1" t="s">
        <v>404</v>
      </c>
      <c r="F95" s="1" t="s">
        <v>342</v>
      </c>
      <c r="G95" s="1">
        <v>100</v>
      </c>
    </row>
    <row r="96" spans="1:7">
      <c r="A96" s="1" t="s">
        <v>632</v>
      </c>
      <c r="B96" s="1" t="s">
        <v>633</v>
      </c>
      <c r="C96" s="1" t="s">
        <v>362</v>
      </c>
      <c r="D96" s="1" t="s">
        <v>340</v>
      </c>
      <c r="E96" s="1" t="s">
        <v>430</v>
      </c>
      <c r="F96" s="1" t="s">
        <v>364</v>
      </c>
      <c r="G96" s="1">
        <v>125</v>
      </c>
    </row>
    <row r="97" spans="1:7">
      <c r="A97" s="1" t="s">
        <v>634</v>
      </c>
      <c r="B97" s="1" t="s">
        <v>635</v>
      </c>
      <c r="C97" s="1" t="s">
        <v>339</v>
      </c>
      <c r="D97" s="1" t="s">
        <v>340</v>
      </c>
      <c r="E97" s="1" t="s">
        <v>384</v>
      </c>
      <c r="F97" s="1" t="s">
        <v>342</v>
      </c>
      <c r="G97" s="1">
        <v>250</v>
      </c>
    </row>
    <row r="98" spans="1:7">
      <c r="A98" s="1" t="s">
        <v>636</v>
      </c>
      <c r="B98" s="1" t="s">
        <v>637</v>
      </c>
      <c r="C98" s="1" t="s">
        <v>339</v>
      </c>
      <c r="D98" s="1" t="s">
        <v>340</v>
      </c>
      <c r="E98" s="1" t="s">
        <v>577</v>
      </c>
      <c r="F98" s="1" t="s">
        <v>342</v>
      </c>
      <c r="G98" s="1">
        <v>150</v>
      </c>
    </row>
    <row r="99" spans="1:7">
      <c r="A99" s="1" t="s">
        <v>638</v>
      </c>
      <c r="B99" s="1" t="s">
        <v>639</v>
      </c>
      <c r="C99" s="1" t="s">
        <v>467</v>
      </c>
      <c r="D99" s="1" t="s">
        <v>64</v>
      </c>
      <c r="E99" s="1" t="s">
        <v>468</v>
      </c>
      <c r="F99" s="1" t="s">
        <v>351</v>
      </c>
      <c r="G99" s="1">
        <v>140</v>
      </c>
    </row>
    <row r="100" spans="1:7">
      <c r="A100" s="1" t="s">
        <v>640</v>
      </c>
      <c r="B100" s="1" t="s">
        <v>641</v>
      </c>
      <c r="C100" s="1" t="s">
        <v>339</v>
      </c>
      <c r="D100" s="1" t="s">
        <v>340</v>
      </c>
      <c r="E100" s="1" t="s">
        <v>457</v>
      </c>
      <c r="F100" s="1" t="s">
        <v>357</v>
      </c>
      <c r="G100" s="1">
        <v>400</v>
      </c>
    </row>
    <row r="101" spans="1:7">
      <c r="A101" s="1" t="s">
        <v>642</v>
      </c>
      <c r="B101" s="1" t="s">
        <v>643</v>
      </c>
      <c r="C101" s="1" t="s">
        <v>339</v>
      </c>
      <c r="D101" s="1" t="s">
        <v>340</v>
      </c>
      <c r="E101" s="1" t="s">
        <v>644</v>
      </c>
      <c r="F101" s="1" t="s">
        <v>357</v>
      </c>
      <c r="G101" s="1">
        <v>13960</v>
      </c>
    </row>
    <row r="102" spans="1:7">
      <c r="A102" s="1" t="s">
        <v>645</v>
      </c>
      <c r="B102" s="1" t="s">
        <v>646</v>
      </c>
      <c r="C102" s="1" t="s">
        <v>440</v>
      </c>
      <c r="D102" s="1" t="s">
        <v>340</v>
      </c>
      <c r="E102" s="1" t="s">
        <v>441</v>
      </c>
      <c r="F102" s="1" t="s">
        <v>357</v>
      </c>
      <c r="G102" s="1">
        <v>290</v>
      </c>
    </row>
    <row r="103" spans="1:7">
      <c r="A103" s="1" t="s">
        <v>211</v>
      </c>
      <c r="B103" s="1" t="s">
        <v>647</v>
      </c>
      <c r="C103" s="1" t="s">
        <v>339</v>
      </c>
      <c r="D103" s="1" t="s">
        <v>340</v>
      </c>
      <c r="E103" s="1" t="s">
        <v>390</v>
      </c>
      <c r="F103" s="1" t="s">
        <v>342</v>
      </c>
      <c r="G103" s="1">
        <v>187</v>
      </c>
    </row>
    <row r="104" spans="1:7">
      <c r="A104" s="1" t="s">
        <v>648</v>
      </c>
      <c r="B104" s="1" t="s">
        <v>649</v>
      </c>
      <c r="C104" s="1" t="s">
        <v>52</v>
      </c>
      <c r="D104" s="1" t="s">
        <v>53</v>
      </c>
      <c r="E104" s="1" t="s">
        <v>650</v>
      </c>
      <c r="F104" s="1" t="s">
        <v>357</v>
      </c>
      <c r="G104" s="1">
        <v>350</v>
      </c>
    </row>
    <row r="105" spans="1:7">
      <c r="A105" s="1" t="s">
        <v>651</v>
      </c>
      <c r="B105" s="1" t="s">
        <v>652</v>
      </c>
      <c r="C105" s="1" t="s">
        <v>339</v>
      </c>
      <c r="D105" s="1" t="s">
        <v>340</v>
      </c>
      <c r="E105" s="1" t="s">
        <v>373</v>
      </c>
      <c r="F105" s="1" t="s">
        <v>357</v>
      </c>
      <c r="G105" s="1">
        <v>275</v>
      </c>
    </row>
    <row r="106" spans="1:7">
      <c r="A106" s="1" t="s">
        <v>653</v>
      </c>
      <c r="B106" s="1" t="s">
        <v>654</v>
      </c>
      <c r="C106" s="1" t="s">
        <v>362</v>
      </c>
      <c r="D106" s="1" t="s">
        <v>340</v>
      </c>
      <c r="E106" s="1" t="s">
        <v>430</v>
      </c>
      <c r="F106" s="1" t="s">
        <v>364</v>
      </c>
      <c r="G106" s="1">
        <v>110</v>
      </c>
    </row>
    <row r="107" spans="1:7">
      <c r="A107" s="1" t="s">
        <v>655</v>
      </c>
      <c r="B107" s="1" t="s">
        <v>656</v>
      </c>
      <c r="C107" s="1" t="s">
        <v>339</v>
      </c>
      <c r="D107" s="1" t="s">
        <v>340</v>
      </c>
      <c r="E107" s="1" t="s">
        <v>480</v>
      </c>
      <c r="F107" s="1" t="s">
        <v>357</v>
      </c>
      <c r="G107" s="1">
        <v>290</v>
      </c>
    </row>
    <row r="108" spans="1:7">
      <c r="A108" s="1" t="s">
        <v>657</v>
      </c>
      <c r="B108" s="1" t="s">
        <v>658</v>
      </c>
      <c r="C108" s="1" t="s">
        <v>659</v>
      </c>
      <c r="D108" s="1" t="s">
        <v>340</v>
      </c>
      <c r="E108" s="1" t="s">
        <v>660</v>
      </c>
      <c r="F108" s="1" t="s">
        <v>414</v>
      </c>
      <c r="G108" s="1">
        <v>150</v>
      </c>
    </row>
    <row r="109" spans="1:7">
      <c r="A109" s="1" t="s">
        <v>661</v>
      </c>
      <c r="B109" s="1" t="s">
        <v>662</v>
      </c>
      <c r="C109" s="1" t="s">
        <v>511</v>
      </c>
      <c r="D109" s="1" t="s">
        <v>340</v>
      </c>
      <c r="E109" s="1" t="s">
        <v>663</v>
      </c>
      <c r="F109" s="1" t="s">
        <v>513</v>
      </c>
      <c r="G109" s="1">
        <v>250</v>
      </c>
    </row>
    <row r="110" spans="1:7">
      <c r="A110" s="1" t="s">
        <v>664</v>
      </c>
      <c r="B110" s="1" t="s">
        <v>665</v>
      </c>
      <c r="C110" s="1" t="s">
        <v>666</v>
      </c>
      <c r="D110" s="1" t="s">
        <v>340</v>
      </c>
      <c r="E110" s="1" t="s">
        <v>667</v>
      </c>
      <c r="F110" s="1" t="s">
        <v>558</v>
      </c>
      <c r="G110" s="1">
        <v>500</v>
      </c>
    </row>
    <row r="111" spans="1:7">
      <c r="A111" s="1" t="s">
        <v>668</v>
      </c>
      <c r="B111" s="1" t="s">
        <v>669</v>
      </c>
      <c r="C111" s="1" t="s">
        <v>670</v>
      </c>
      <c r="D111" s="1" t="s">
        <v>355</v>
      </c>
      <c r="E111" s="1" t="s">
        <v>671</v>
      </c>
      <c r="F111" s="1" t="s">
        <v>357</v>
      </c>
      <c r="G111" s="1">
        <v>340</v>
      </c>
    </row>
    <row r="112" spans="1:7">
      <c r="A112" s="1" t="s">
        <v>672</v>
      </c>
      <c r="B112" s="1" t="s">
        <v>673</v>
      </c>
      <c r="C112" s="1" t="s">
        <v>339</v>
      </c>
      <c r="D112" s="1" t="s">
        <v>340</v>
      </c>
      <c r="E112" s="1" t="s">
        <v>674</v>
      </c>
      <c r="F112" s="1" t="s">
        <v>342</v>
      </c>
      <c r="G112" s="1">
        <v>300</v>
      </c>
    </row>
    <row r="113" spans="1:7">
      <c r="A113" s="1" t="s">
        <v>675</v>
      </c>
      <c r="B113" s="1" t="s">
        <v>676</v>
      </c>
      <c r="C113" s="1" t="s">
        <v>339</v>
      </c>
      <c r="D113" s="1" t="s">
        <v>340</v>
      </c>
      <c r="E113" s="1" t="s">
        <v>677</v>
      </c>
      <c r="F113" s="1" t="s">
        <v>357</v>
      </c>
      <c r="G113" s="1">
        <v>1865</v>
      </c>
    </row>
    <row r="114" spans="1:7">
      <c r="A114" s="1" t="s">
        <v>678</v>
      </c>
      <c r="B114" s="1" t="s">
        <v>679</v>
      </c>
      <c r="C114" s="1" t="s">
        <v>339</v>
      </c>
      <c r="D114" s="1" t="s">
        <v>340</v>
      </c>
      <c r="E114" s="1" t="s">
        <v>577</v>
      </c>
      <c r="F114" s="1" t="s">
        <v>342</v>
      </c>
      <c r="G114" s="1">
        <v>135</v>
      </c>
    </row>
    <row r="115" spans="1:7">
      <c r="A115" s="1" t="s">
        <v>680</v>
      </c>
      <c r="B115" s="1" t="s">
        <v>681</v>
      </c>
      <c r="C115" s="1" t="s">
        <v>339</v>
      </c>
      <c r="D115" s="1" t="s">
        <v>340</v>
      </c>
      <c r="E115" s="1" t="s">
        <v>682</v>
      </c>
      <c r="F115" s="1" t="s">
        <v>357</v>
      </c>
      <c r="G115" s="1">
        <v>672</v>
      </c>
    </row>
    <row r="116" spans="1:7">
      <c r="A116" s="1" t="s">
        <v>683</v>
      </c>
      <c r="B116" s="1" t="s">
        <v>684</v>
      </c>
      <c r="C116" s="1" t="s">
        <v>339</v>
      </c>
      <c r="D116" s="1" t="s">
        <v>340</v>
      </c>
      <c r="E116" s="1" t="s">
        <v>341</v>
      </c>
      <c r="F116" s="1" t="s">
        <v>342</v>
      </c>
      <c r="G116" s="1">
        <v>180</v>
      </c>
    </row>
    <row r="117" spans="1:7">
      <c r="A117" s="1" t="s">
        <v>685</v>
      </c>
      <c r="B117" s="1" t="s">
        <v>686</v>
      </c>
      <c r="C117" s="1" t="s">
        <v>687</v>
      </c>
      <c r="D117" s="1" t="s">
        <v>340</v>
      </c>
      <c r="E117" s="1" t="s">
        <v>688</v>
      </c>
      <c r="F117" s="1" t="s">
        <v>347</v>
      </c>
      <c r="G117" s="1">
        <v>160</v>
      </c>
    </row>
    <row r="118" spans="1:7">
      <c r="A118" s="1" t="s">
        <v>689</v>
      </c>
      <c r="B118" s="1" t="s">
        <v>690</v>
      </c>
      <c r="C118" s="1" t="s">
        <v>339</v>
      </c>
      <c r="D118" s="1" t="s">
        <v>340</v>
      </c>
      <c r="E118" s="1" t="s">
        <v>629</v>
      </c>
      <c r="F118" s="1" t="s">
        <v>342</v>
      </c>
      <c r="G118" s="1">
        <v>152</v>
      </c>
    </row>
    <row r="119" spans="1:7">
      <c r="A119" s="1" t="s">
        <v>691</v>
      </c>
      <c r="B119" s="1" t="s">
        <v>692</v>
      </c>
      <c r="C119" s="1" t="s">
        <v>339</v>
      </c>
      <c r="D119" s="1" t="s">
        <v>340</v>
      </c>
      <c r="E119" s="1" t="s">
        <v>457</v>
      </c>
      <c r="F119" s="1" t="s">
        <v>342</v>
      </c>
      <c r="G119" s="1">
        <v>140</v>
      </c>
    </row>
    <row r="120" spans="1:7">
      <c r="A120" s="1" t="s">
        <v>693</v>
      </c>
      <c r="B120" s="1" t="s">
        <v>694</v>
      </c>
      <c r="C120" s="1" t="s">
        <v>414</v>
      </c>
      <c r="D120" s="1" t="s">
        <v>695</v>
      </c>
      <c r="E120" s="1" t="s">
        <v>696</v>
      </c>
      <c r="F120" s="1" t="s">
        <v>357</v>
      </c>
      <c r="G120" s="1">
        <v>300</v>
      </c>
    </row>
    <row r="121" spans="1:7">
      <c r="A121" s="1" t="s">
        <v>697</v>
      </c>
      <c r="B121" s="1" t="s">
        <v>698</v>
      </c>
      <c r="C121" s="1" t="s">
        <v>345</v>
      </c>
      <c r="D121" s="1" t="s">
        <v>340</v>
      </c>
      <c r="E121" s="1" t="s">
        <v>422</v>
      </c>
      <c r="F121" s="1" t="s">
        <v>347</v>
      </c>
      <c r="G121" s="1">
        <v>140</v>
      </c>
    </row>
    <row r="122" spans="1:7">
      <c r="A122" s="1" t="s">
        <v>699</v>
      </c>
      <c r="B122" s="1" t="s">
        <v>700</v>
      </c>
      <c r="C122" s="1" t="s">
        <v>379</v>
      </c>
      <c r="D122" s="1" t="s">
        <v>340</v>
      </c>
      <c r="E122" s="1" t="s">
        <v>380</v>
      </c>
      <c r="F122" s="1" t="s">
        <v>381</v>
      </c>
      <c r="G122" s="1">
        <v>150</v>
      </c>
    </row>
    <row r="123" spans="1:7">
      <c r="A123" s="1" t="s">
        <v>701</v>
      </c>
      <c r="B123" s="1" t="s">
        <v>702</v>
      </c>
      <c r="C123" s="1" t="s">
        <v>339</v>
      </c>
      <c r="D123" s="1" t="s">
        <v>340</v>
      </c>
      <c r="E123" s="1" t="s">
        <v>384</v>
      </c>
      <c r="F123" s="1" t="s">
        <v>357</v>
      </c>
      <c r="G123" s="1">
        <v>2700</v>
      </c>
    </row>
    <row r="124" spans="1:7">
      <c r="A124" s="1" t="s">
        <v>703</v>
      </c>
      <c r="B124" s="1" t="s">
        <v>704</v>
      </c>
      <c r="C124" s="1" t="s">
        <v>705</v>
      </c>
      <c r="D124" s="1" t="s">
        <v>340</v>
      </c>
      <c r="E124" s="1" t="s">
        <v>706</v>
      </c>
      <c r="F124" s="1" t="s">
        <v>347</v>
      </c>
      <c r="G124" s="1">
        <v>130</v>
      </c>
    </row>
    <row r="125" spans="1:7">
      <c r="A125" s="1" t="s">
        <v>707</v>
      </c>
      <c r="B125" s="1" t="s">
        <v>708</v>
      </c>
      <c r="C125" s="1" t="s">
        <v>625</v>
      </c>
      <c r="D125" s="1" t="s">
        <v>340</v>
      </c>
      <c r="E125" s="1" t="s">
        <v>709</v>
      </c>
      <c r="F125" s="1" t="s">
        <v>357</v>
      </c>
      <c r="G125" s="1">
        <v>232</v>
      </c>
    </row>
    <row r="126" spans="1:7">
      <c r="A126" s="1" t="s">
        <v>710</v>
      </c>
      <c r="B126" s="1" t="s">
        <v>711</v>
      </c>
      <c r="C126" s="1" t="s">
        <v>412</v>
      </c>
      <c r="D126" s="1" t="s">
        <v>340</v>
      </c>
      <c r="E126" s="1" t="s">
        <v>413</v>
      </c>
      <c r="F126" s="1" t="s">
        <v>414</v>
      </c>
      <c r="G126" s="1">
        <v>200</v>
      </c>
    </row>
    <row r="127" spans="1:7">
      <c r="A127" s="1" t="s">
        <v>212</v>
      </c>
      <c r="B127" s="1" t="s">
        <v>712</v>
      </c>
      <c r="C127" s="1" t="s">
        <v>412</v>
      </c>
      <c r="D127" s="1" t="s">
        <v>340</v>
      </c>
      <c r="E127" s="1" t="s">
        <v>413</v>
      </c>
      <c r="F127" s="1" t="s">
        <v>414</v>
      </c>
      <c r="G127" s="1">
        <v>100</v>
      </c>
    </row>
    <row r="128" spans="1:7">
      <c r="A128" s="1" t="s">
        <v>713</v>
      </c>
      <c r="B128" s="1" t="s">
        <v>714</v>
      </c>
      <c r="C128" s="1" t="s">
        <v>339</v>
      </c>
      <c r="D128" s="1" t="s">
        <v>340</v>
      </c>
      <c r="E128" s="1" t="s">
        <v>715</v>
      </c>
      <c r="F128" s="1" t="s">
        <v>357</v>
      </c>
      <c r="G128" s="1">
        <v>850</v>
      </c>
    </row>
    <row r="129" spans="1:7">
      <c r="A129" s="1" t="s">
        <v>716</v>
      </c>
      <c r="B129" s="1" t="s">
        <v>717</v>
      </c>
      <c r="C129" s="1" t="s">
        <v>718</v>
      </c>
      <c r="D129" s="1" t="s">
        <v>719</v>
      </c>
      <c r="E129" s="1" t="s">
        <v>720</v>
      </c>
      <c r="F129" s="1" t="s">
        <v>357</v>
      </c>
      <c r="G129" s="1">
        <v>1500</v>
      </c>
    </row>
    <row r="130" spans="1:7">
      <c r="A130" s="1" t="s">
        <v>721</v>
      </c>
      <c r="B130" s="1" t="s">
        <v>722</v>
      </c>
      <c r="C130" s="1" t="s">
        <v>723</v>
      </c>
      <c r="D130" s="1" t="s">
        <v>340</v>
      </c>
      <c r="E130" s="1" t="s">
        <v>724</v>
      </c>
      <c r="F130" s="1" t="s">
        <v>364</v>
      </c>
      <c r="G130" s="1">
        <v>260</v>
      </c>
    </row>
    <row r="131" spans="1:7">
      <c r="A131" s="1" t="s">
        <v>725</v>
      </c>
      <c r="B131" s="1" t="s">
        <v>726</v>
      </c>
      <c r="C131" s="1" t="s">
        <v>362</v>
      </c>
      <c r="D131" s="1" t="s">
        <v>340</v>
      </c>
      <c r="E131" s="1" t="s">
        <v>430</v>
      </c>
      <c r="F131" s="1" t="s">
        <v>364</v>
      </c>
      <c r="G131" s="1">
        <v>175</v>
      </c>
    </row>
    <row r="132" spans="1:7">
      <c r="A132" s="1" t="s">
        <v>727</v>
      </c>
      <c r="B132" s="1" t="s">
        <v>728</v>
      </c>
      <c r="C132" s="1" t="s">
        <v>339</v>
      </c>
      <c r="D132" s="1" t="s">
        <v>340</v>
      </c>
      <c r="E132" s="1" t="s">
        <v>629</v>
      </c>
      <c r="F132" s="1" t="s">
        <v>342</v>
      </c>
      <c r="G132" s="1">
        <v>235</v>
      </c>
    </row>
    <row r="133" spans="1:7">
      <c r="A133" s="1" t="s">
        <v>729</v>
      </c>
      <c r="B133" s="1" t="s">
        <v>730</v>
      </c>
      <c r="C133" s="1" t="s">
        <v>339</v>
      </c>
      <c r="D133" s="1" t="s">
        <v>340</v>
      </c>
      <c r="E133" s="1" t="s">
        <v>594</v>
      </c>
      <c r="F133" s="1" t="s">
        <v>357</v>
      </c>
      <c r="G133" s="1">
        <v>290</v>
      </c>
    </row>
    <row r="134" spans="1:7">
      <c r="A134" s="1" t="s">
        <v>731</v>
      </c>
      <c r="B134" s="1" t="s">
        <v>732</v>
      </c>
      <c r="C134" s="1" t="s">
        <v>345</v>
      </c>
      <c r="D134" s="1" t="s">
        <v>340</v>
      </c>
      <c r="E134" s="1" t="s">
        <v>422</v>
      </c>
      <c r="F134" s="1" t="s">
        <v>347</v>
      </c>
      <c r="G134" s="1">
        <v>130</v>
      </c>
    </row>
    <row r="135" spans="1:7">
      <c r="A135" s="1" t="s">
        <v>733</v>
      </c>
      <c r="B135" s="1" t="s">
        <v>734</v>
      </c>
      <c r="C135" s="1" t="s">
        <v>339</v>
      </c>
      <c r="D135" s="1" t="s">
        <v>340</v>
      </c>
      <c r="E135" s="1" t="s">
        <v>735</v>
      </c>
      <c r="F135" s="1" t="s">
        <v>342</v>
      </c>
      <c r="G135" s="1">
        <v>400</v>
      </c>
    </row>
    <row r="136" spans="1:7">
      <c r="A136" s="1" t="s">
        <v>736</v>
      </c>
      <c r="B136" s="1" t="s">
        <v>737</v>
      </c>
      <c r="C136" s="1" t="s">
        <v>738</v>
      </c>
      <c r="D136" s="1" t="s">
        <v>64</v>
      </c>
      <c r="E136" s="1" t="s">
        <v>739</v>
      </c>
      <c r="F136" s="1" t="s">
        <v>357</v>
      </c>
      <c r="G136" s="1">
        <v>2538</v>
      </c>
    </row>
    <row r="137" spans="1:7">
      <c r="A137" s="1" t="s">
        <v>740</v>
      </c>
      <c r="B137" s="1" t="s">
        <v>741</v>
      </c>
      <c r="C137" s="1" t="s">
        <v>467</v>
      </c>
      <c r="D137" s="1" t="s">
        <v>64</v>
      </c>
      <c r="E137" s="1" t="s">
        <v>546</v>
      </c>
      <c r="F137" s="1" t="s">
        <v>357</v>
      </c>
      <c r="G137" s="1">
        <v>500</v>
      </c>
    </row>
    <row r="138" spans="1:7">
      <c r="A138" s="1" t="s">
        <v>742</v>
      </c>
      <c r="B138" s="1" t="s">
        <v>743</v>
      </c>
      <c r="C138" s="1" t="s">
        <v>339</v>
      </c>
      <c r="D138" s="1" t="s">
        <v>340</v>
      </c>
      <c r="E138" s="1" t="s">
        <v>594</v>
      </c>
      <c r="F138" s="1" t="s">
        <v>342</v>
      </c>
      <c r="G138" s="1">
        <v>150</v>
      </c>
    </row>
    <row r="139" spans="1:7">
      <c r="A139" s="1" t="s">
        <v>195</v>
      </c>
      <c r="B139" s="1" t="s">
        <v>744</v>
      </c>
      <c r="C139" s="1" t="s">
        <v>412</v>
      </c>
      <c r="D139" s="1" t="s">
        <v>340</v>
      </c>
      <c r="E139" s="1" t="s">
        <v>413</v>
      </c>
      <c r="F139" s="1" t="s">
        <v>414</v>
      </c>
      <c r="G139" s="1">
        <v>115</v>
      </c>
    </row>
    <row r="140" spans="1:7">
      <c r="A140" s="1" t="s">
        <v>745</v>
      </c>
      <c r="B140" s="1" t="s">
        <v>746</v>
      </c>
      <c r="C140" s="1" t="s">
        <v>747</v>
      </c>
      <c r="D140" s="1" t="s">
        <v>340</v>
      </c>
      <c r="E140" s="1" t="s">
        <v>748</v>
      </c>
      <c r="F140" s="1" t="s">
        <v>381</v>
      </c>
      <c r="G140" s="1">
        <v>400</v>
      </c>
    </row>
    <row r="141" spans="1:7">
      <c r="A141" s="1" t="s">
        <v>749</v>
      </c>
      <c r="B141" s="1" t="s">
        <v>750</v>
      </c>
      <c r="C141" s="1" t="s">
        <v>339</v>
      </c>
      <c r="D141" s="1" t="s">
        <v>340</v>
      </c>
      <c r="E141" s="1" t="s">
        <v>677</v>
      </c>
      <c r="F141" s="1" t="s">
        <v>342</v>
      </c>
      <c r="G141" s="1">
        <v>236</v>
      </c>
    </row>
    <row r="142" spans="1:7">
      <c r="A142" s="1" t="s">
        <v>751</v>
      </c>
      <c r="B142" s="1" t="s">
        <v>752</v>
      </c>
      <c r="C142" s="1" t="s">
        <v>339</v>
      </c>
      <c r="D142" s="1" t="s">
        <v>340</v>
      </c>
      <c r="E142" s="1" t="s">
        <v>753</v>
      </c>
      <c r="F142" s="1" t="s">
        <v>342</v>
      </c>
      <c r="G142" s="1">
        <v>450</v>
      </c>
    </row>
    <row r="143" spans="1:7">
      <c r="A143" s="1" t="s">
        <v>754</v>
      </c>
      <c r="B143" s="1" t="s">
        <v>755</v>
      </c>
      <c r="C143" s="1" t="s">
        <v>339</v>
      </c>
      <c r="D143" s="1" t="s">
        <v>340</v>
      </c>
      <c r="E143" s="1" t="s">
        <v>480</v>
      </c>
      <c r="F143" s="1" t="s">
        <v>342</v>
      </c>
      <c r="G143" s="1">
        <v>600</v>
      </c>
    </row>
    <row r="144" spans="1:7">
      <c r="A144" s="1" t="s">
        <v>756</v>
      </c>
      <c r="B144" s="1" t="s">
        <v>757</v>
      </c>
      <c r="C144" s="1" t="s">
        <v>36</v>
      </c>
      <c r="D144" s="1" t="s">
        <v>355</v>
      </c>
      <c r="E144" s="1" t="s">
        <v>758</v>
      </c>
      <c r="F144" s="1" t="s">
        <v>357</v>
      </c>
      <c r="G144" s="1">
        <v>250</v>
      </c>
    </row>
    <row r="145" spans="1:7">
      <c r="A145" s="1" t="s">
        <v>759</v>
      </c>
      <c r="B145" s="1" t="s">
        <v>760</v>
      </c>
      <c r="C145" s="1" t="s">
        <v>339</v>
      </c>
      <c r="D145" s="1" t="s">
        <v>340</v>
      </c>
      <c r="E145" s="1" t="s">
        <v>677</v>
      </c>
      <c r="F145" s="1" t="s">
        <v>342</v>
      </c>
      <c r="G145" s="1">
        <v>204</v>
      </c>
    </row>
    <row r="146" spans="1:7">
      <c r="A146" s="1" t="s">
        <v>761</v>
      </c>
      <c r="B146" s="1" t="s">
        <v>762</v>
      </c>
      <c r="C146" s="1" t="s">
        <v>412</v>
      </c>
      <c r="D146" s="1" t="s">
        <v>340</v>
      </c>
      <c r="E146" s="1">
        <v>28111</v>
      </c>
      <c r="F146" s="1" t="s">
        <v>414</v>
      </c>
      <c r="G146" s="1">
        <v>300</v>
      </c>
    </row>
    <row r="147" spans="1:7">
      <c r="A147" s="1" t="s">
        <v>763</v>
      </c>
      <c r="B147" s="1" t="s">
        <v>764</v>
      </c>
      <c r="C147" s="1" t="s">
        <v>339</v>
      </c>
      <c r="D147" s="1" t="s">
        <v>340</v>
      </c>
      <c r="E147" s="1" t="s">
        <v>376</v>
      </c>
      <c r="F147" s="1" t="s">
        <v>357</v>
      </c>
      <c r="G147" s="1">
        <v>1800</v>
      </c>
    </row>
    <row r="148" spans="1:7">
      <c r="A148" s="1" t="s">
        <v>765</v>
      </c>
      <c r="B148" s="1" t="s">
        <v>766</v>
      </c>
      <c r="C148" s="1" t="s">
        <v>339</v>
      </c>
      <c r="D148" s="1" t="s">
        <v>340</v>
      </c>
      <c r="E148" s="1" t="s">
        <v>341</v>
      </c>
      <c r="F148" s="1" t="s">
        <v>342</v>
      </c>
      <c r="G148" s="1">
        <v>100</v>
      </c>
    </row>
    <row r="149" spans="1:7">
      <c r="A149" s="1" t="s">
        <v>767</v>
      </c>
      <c r="B149" s="1" t="s">
        <v>768</v>
      </c>
      <c r="C149" s="1" t="s">
        <v>511</v>
      </c>
      <c r="D149" s="1" t="s">
        <v>340</v>
      </c>
      <c r="E149" s="1" t="s">
        <v>536</v>
      </c>
      <c r="F149" s="1" t="s">
        <v>513</v>
      </c>
      <c r="G149" s="1">
        <v>260</v>
      </c>
    </row>
    <row r="150" spans="1:7">
      <c r="A150" s="1" t="s">
        <v>769</v>
      </c>
      <c r="B150" s="1" t="s">
        <v>770</v>
      </c>
      <c r="C150" s="1" t="s">
        <v>436</v>
      </c>
      <c r="D150" s="1" t="s">
        <v>340</v>
      </c>
      <c r="E150" s="1" t="s">
        <v>771</v>
      </c>
      <c r="F150" s="1" t="s">
        <v>565</v>
      </c>
      <c r="G150" s="1">
        <v>130</v>
      </c>
    </row>
    <row r="151" spans="1:7">
      <c r="A151" s="1" t="s">
        <v>772</v>
      </c>
      <c r="B151" s="1" t="s">
        <v>737</v>
      </c>
      <c r="C151" s="1" t="s">
        <v>773</v>
      </c>
      <c r="D151" s="1" t="s">
        <v>64</v>
      </c>
      <c r="E151" s="1" t="s">
        <v>774</v>
      </c>
      <c r="F151" s="1" t="s">
        <v>775</v>
      </c>
      <c r="G151" s="1">
        <v>100</v>
      </c>
    </row>
    <row r="152" spans="1:7">
      <c r="A152" s="1" t="s">
        <v>776</v>
      </c>
      <c r="B152" s="1" t="s">
        <v>777</v>
      </c>
      <c r="C152" s="1" t="s">
        <v>86</v>
      </c>
      <c r="D152" s="1" t="s">
        <v>87</v>
      </c>
      <c r="E152" s="1" t="s">
        <v>778</v>
      </c>
      <c r="F152" s="1" t="s">
        <v>357</v>
      </c>
      <c r="G152" s="1">
        <v>210</v>
      </c>
    </row>
    <row r="153" spans="1:7">
      <c r="A153" s="1" t="s">
        <v>779</v>
      </c>
      <c r="B153" s="1" t="s">
        <v>780</v>
      </c>
      <c r="C153" s="1" t="s">
        <v>339</v>
      </c>
      <c r="D153" s="1" t="s">
        <v>340</v>
      </c>
      <c r="E153" s="1" t="s">
        <v>480</v>
      </c>
      <c r="F153" s="1" t="s">
        <v>342</v>
      </c>
      <c r="G153" s="1">
        <v>150</v>
      </c>
    </row>
    <row r="154" spans="1:7">
      <c r="A154" s="1" t="s">
        <v>781</v>
      </c>
      <c r="B154" s="1" t="s">
        <v>782</v>
      </c>
      <c r="C154" s="1" t="s">
        <v>339</v>
      </c>
      <c r="D154" s="1" t="s">
        <v>340</v>
      </c>
      <c r="E154" s="1" t="s">
        <v>783</v>
      </c>
      <c r="F154" s="1" t="s">
        <v>342</v>
      </c>
      <c r="G154" s="1">
        <v>180</v>
      </c>
    </row>
    <row r="155" spans="1:7">
      <c r="A155" s="1" t="s">
        <v>784</v>
      </c>
      <c r="B155" s="1" t="s">
        <v>785</v>
      </c>
      <c r="C155" s="1" t="s">
        <v>339</v>
      </c>
      <c r="D155" s="1" t="s">
        <v>340</v>
      </c>
      <c r="E155" s="1" t="s">
        <v>384</v>
      </c>
      <c r="F155" s="1" t="s">
        <v>342</v>
      </c>
      <c r="G155" s="1">
        <v>254</v>
      </c>
    </row>
    <row r="156" spans="1:7">
      <c r="A156" s="1" t="s">
        <v>786</v>
      </c>
      <c r="B156" s="1" t="s">
        <v>787</v>
      </c>
      <c r="C156" s="1" t="s">
        <v>558</v>
      </c>
      <c r="D156" s="1" t="s">
        <v>64</v>
      </c>
      <c r="E156" s="1" t="s">
        <v>788</v>
      </c>
      <c r="F156" s="1" t="s">
        <v>351</v>
      </c>
      <c r="G156" s="1">
        <v>1040</v>
      </c>
    </row>
    <row r="157" spans="1:7">
      <c r="A157" s="1" t="s">
        <v>213</v>
      </c>
      <c r="B157" s="1" t="s">
        <v>789</v>
      </c>
      <c r="C157" s="1" t="s">
        <v>339</v>
      </c>
      <c r="D157" s="1" t="s">
        <v>340</v>
      </c>
      <c r="E157" s="1" t="s">
        <v>384</v>
      </c>
      <c r="F157" s="1" t="s">
        <v>342</v>
      </c>
      <c r="G157" s="1">
        <v>100</v>
      </c>
    </row>
    <row r="158" spans="1:7">
      <c r="A158" s="1" t="s">
        <v>790</v>
      </c>
      <c r="B158" s="1" t="s">
        <v>791</v>
      </c>
      <c r="C158" s="1" t="s">
        <v>339</v>
      </c>
      <c r="D158" s="1" t="s">
        <v>340</v>
      </c>
      <c r="E158" s="1" t="s">
        <v>390</v>
      </c>
      <c r="F158" s="1" t="s">
        <v>342</v>
      </c>
      <c r="G158" s="1">
        <v>185</v>
      </c>
    </row>
    <row r="159" spans="1:7">
      <c r="A159" s="1" t="s">
        <v>792</v>
      </c>
      <c r="B159" s="1" t="s">
        <v>793</v>
      </c>
      <c r="C159" s="1" t="s">
        <v>687</v>
      </c>
      <c r="D159" s="1" t="s">
        <v>340</v>
      </c>
      <c r="E159" s="1" t="s">
        <v>688</v>
      </c>
      <c r="F159" s="1" t="s">
        <v>357</v>
      </c>
      <c r="G159" s="1">
        <v>482</v>
      </c>
    </row>
    <row r="160" spans="1:7">
      <c r="A160" s="1" t="s">
        <v>794</v>
      </c>
      <c r="B160" s="1" t="s">
        <v>795</v>
      </c>
      <c r="C160" s="1" t="s">
        <v>339</v>
      </c>
      <c r="D160" s="1" t="s">
        <v>340</v>
      </c>
      <c r="E160" s="1" t="s">
        <v>457</v>
      </c>
      <c r="F160" s="1" t="s">
        <v>357</v>
      </c>
      <c r="G160" s="1">
        <v>245</v>
      </c>
    </row>
    <row r="161" spans="1:7">
      <c r="A161" s="1" t="s">
        <v>796</v>
      </c>
      <c r="B161" s="1" t="s">
        <v>797</v>
      </c>
      <c r="C161" s="1" t="s">
        <v>798</v>
      </c>
      <c r="D161" s="1" t="s">
        <v>799</v>
      </c>
      <c r="E161" s="1" t="s">
        <v>800</v>
      </c>
      <c r="F161" s="1" t="s">
        <v>357</v>
      </c>
      <c r="G161" s="1">
        <v>1190</v>
      </c>
    </row>
    <row r="162" spans="1:7">
      <c r="A162" s="1" t="s">
        <v>801</v>
      </c>
      <c r="B162" s="1" t="s">
        <v>802</v>
      </c>
      <c r="C162" s="1" t="s">
        <v>339</v>
      </c>
      <c r="D162" s="1" t="s">
        <v>340</v>
      </c>
      <c r="E162" s="1" t="s">
        <v>480</v>
      </c>
      <c r="F162" s="1" t="s">
        <v>342</v>
      </c>
      <c r="G162" s="1">
        <v>100</v>
      </c>
    </row>
    <row r="163" spans="1:7">
      <c r="A163" s="1" t="s">
        <v>803</v>
      </c>
      <c r="B163" s="1" t="s">
        <v>804</v>
      </c>
      <c r="C163" s="1" t="s">
        <v>339</v>
      </c>
      <c r="D163" s="1" t="s">
        <v>340</v>
      </c>
      <c r="E163" s="1" t="s">
        <v>471</v>
      </c>
      <c r="F163" s="1" t="s">
        <v>342</v>
      </c>
      <c r="G163" s="1">
        <v>250</v>
      </c>
    </row>
    <row r="164" spans="1:7">
      <c r="A164" s="1" t="s">
        <v>805</v>
      </c>
      <c r="B164" s="1" t="s">
        <v>806</v>
      </c>
      <c r="C164" s="1" t="s">
        <v>425</v>
      </c>
      <c r="D164" s="1" t="s">
        <v>340</v>
      </c>
      <c r="E164" s="1" t="s">
        <v>426</v>
      </c>
      <c r="F164" s="1" t="s">
        <v>427</v>
      </c>
      <c r="G164" s="1">
        <v>220</v>
      </c>
    </row>
    <row r="165" spans="1:7">
      <c r="A165" s="1" t="s">
        <v>807</v>
      </c>
      <c r="B165" s="1" t="s">
        <v>808</v>
      </c>
      <c r="C165" s="1" t="s">
        <v>339</v>
      </c>
      <c r="D165" s="1" t="s">
        <v>340</v>
      </c>
      <c r="E165" s="1" t="s">
        <v>809</v>
      </c>
      <c r="F165" s="1" t="s">
        <v>342</v>
      </c>
      <c r="G165" s="1">
        <v>250</v>
      </c>
    </row>
    <row r="166" spans="1:7">
      <c r="A166" s="1" t="s">
        <v>214</v>
      </c>
      <c r="B166" s="1" t="s">
        <v>810</v>
      </c>
      <c r="C166" s="1" t="s">
        <v>339</v>
      </c>
      <c r="D166" s="1" t="s">
        <v>340</v>
      </c>
      <c r="E166" s="1" t="s">
        <v>471</v>
      </c>
      <c r="F166" s="1" t="s">
        <v>342</v>
      </c>
      <c r="G166" s="1">
        <v>115</v>
      </c>
    </row>
    <row r="167" spans="1:7">
      <c r="A167" s="1" t="s">
        <v>811</v>
      </c>
      <c r="B167" s="1" t="s">
        <v>812</v>
      </c>
      <c r="C167" s="1" t="s">
        <v>412</v>
      </c>
      <c r="D167" s="1" t="s">
        <v>340</v>
      </c>
      <c r="E167" s="1" t="s">
        <v>813</v>
      </c>
      <c r="F167" s="1" t="s">
        <v>414</v>
      </c>
      <c r="G167" s="1">
        <v>300</v>
      </c>
    </row>
    <row r="168" spans="1:7">
      <c r="A168" s="1" t="s">
        <v>814</v>
      </c>
      <c r="B168" s="1" t="s">
        <v>815</v>
      </c>
      <c r="C168" s="1" t="s">
        <v>447</v>
      </c>
      <c r="D168" s="1" t="s">
        <v>340</v>
      </c>
      <c r="E168" s="1" t="s">
        <v>448</v>
      </c>
      <c r="F168" s="1" t="s">
        <v>449</v>
      </c>
      <c r="G168" s="1">
        <v>333</v>
      </c>
    </row>
    <row r="169" spans="1:7">
      <c r="A169" s="1" t="s">
        <v>816</v>
      </c>
      <c r="B169" s="1" t="s">
        <v>817</v>
      </c>
      <c r="C169" s="1" t="s">
        <v>818</v>
      </c>
      <c r="D169" s="1" t="s">
        <v>340</v>
      </c>
      <c r="E169" s="1" t="s">
        <v>819</v>
      </c>
      <c r="F169" s="1" t="s">
        <v>347</v>
      </c>
      <c r="G169" s="1">
        <v>100</v>
      </c>
    </row>
    <row r="170" spans="1:7">
      <c r="A170" s="1" t="s">
        <v>820</v>
      </c>
      <c r="B170" s="1" t="s">
        <v>821</v>
      </c>
      <c r="C170" s="1" t="s">
        <v>339</v>
      </c>
      <c r="D170" s="1" t="s">
        <v>340</v>
      </c>
      <c r="E170" s="1" t="s">
        <v>577</v>
      </c>
      <c r="F170" s="1" t="s">
        <v>342</v>
      </c>
      <c r="G170" s="1">
        <v>300</v>
      </c>
    </row>
    <row r="171" spans="1:7">
      <c r="A171" s="1" t="s">
        <v>822</v>
      </c>
      <c r="B171" s="1" t="s">
        <v>823</v>
      </c>
      <c r="C171" s="1" t="s">
        <v>824</v>
      </c>
      <c r="D171" s="1" t="s">
        <v>340</v>
      </c>
      <c r="E171" s="1" t="s">
        <v>825</v>
      </c>
      <c r="F171" s="1" t="s">
        <v>419</v>
      </c>
      <c r="G171" s="1">
        <v>200</v>
      </c>
    </row>
    <row r="172" spans="1:7">
      <c r="A172" s="1" t="s">
        <v>826</v>
      </c>
      <c r="B172" s="1" t="s">
        <v>827</v>
      </c>
      <c r="C172" s="1" t="s">
        <v>486</v>
      </c>
      <c r="D172" s="1" t="s">
        <v>340</v>
      </c>
      <c r="E172" s="1" t="s">
        <v>487</v>
      </c>
      <c r="F172" s="1" t="s">
        <v>347</v>
      </c>
      <c r="G172" s="1">
        <v>110</v>
      </c>
    </row>
    <row r="173" spans="1:7">
      <c r="A173" s="1" t="s">
        <v>828</v>
      </c>
      <c r="B173" s="1" t="s">
        <v>829</v>
      </c>
      <c r="C173" s="1" t="s">
        <v>339</v>
      </c>
      <c r="D173" s="1" t="s">
        <v>340</v>
      </c>
      <c r="E173" s="1" t="s">
        <v>830</v>
      </c>
      <c r="F173" s="1" t="s">
        <v>342</v>
      </c>
      <c r="G173" s="1">
        <v>300</v>
      </c>
    </row>
    <row r="174" spans="1:7">
      <c r="A174" s="1" t="s">
        <v>831</v>
      </c>
      <c r="B174" s="1" t="s">
        <v>832</v>
      </c>
      <c r="C174" s="1" t="s">
        <v>833</v>
      </c>
      <c r="D174" s="1" t="s">
        <v>340</v>
      </c>
      <c r="E174" s="1" t="s">
        <v>834</v>
      </c>
      <c r="F174" s="1" t="s">
        <v>513</v>
      </c>
      <c r="G174" s="1">
        <v>225</v>
      </c>
    </row>
    <row r="175" spans="1:7">
      <c r="A175" s="1" t="s">
        <v>835</v>
      </c>
      <c r="B175" s="1" t="s">
        <v>836</v>
      </c>
      <c r="C175" s="1" t="s">
        <v>397</v>
      </c>
      <c r="D175" s="1" t="s">
        <v>340</v>
      </c>
      <c r="E175" s="1" t="s">
        <v>398</v>
      </c>
      <c r="F175" s="1" t="s">
        <v>342</v>
      </c>
      <c r="G175" s="1">
        <v>150</v>
      </c>
    </row>
    <row r="176" spans="1:7">
      <c r="A176" s="1" t="s">
        <v>837</v>
      </c>
      <c r="B176" s="1" t="s">
        <v>838</v>
      </c>
      <c r="C176" s="1" t="s">
        <v>839</v>
      </c>
      <c r="D176" s="1" t="s">
        <v>840</v>
      </c>
      <c r="E176" s="1" t="s">
        <v>841</v>
      </c>
      <c r="F176" s="1" t="s">
        <v>357</v>
      </c>
      <c r="G176" s="1">
        <v>1533</v>
      </c>
    </row>
    <row r="177" spans="1:7">
      <c r="A177" s="1" t="s">
        <v>842</v>
      </c>
      <c r="B177" s="1" t="s">
        <v>843</v>
      </c>
      <c r="C177" s="1" t="s">
        <v>844</v>
      </c>
      <c r="D177" s="1" t="s">
        <v>340</v>
      </c>
      <c r="E177" s="1" t="s">
        <v>845</v>
      </c>
      <c r="F177" s="1" t="s">
        <v>558</v>
      </c>
      <c r="G177" s="1">
        <v>125</v>
      </c>
    </row>
    <row r="178" spans="1:7">
      <c r="A178" s="1" t="s">
        <v>846</v>
      </c>
      <c r="B178" s="1" t="s">
        <v>847</v>
      </c>
      <c r="C178" s="1" t="s">
        <v>345</v>
      </c>
      <c r="D178" s="1" t="s">
        <v>340</v>
      </c>
      <c r="E178" s="1" t="s">
        <v>422</v>
      </c>
      <c r="F178" s="1" t="s">
        <v>347</v>
      </c>
      <c r="G178" s="1">
        <v>114</v>
      </c>
    </row>
    <row r="179" spans="1:7">
      <c r="A179" s="1" t="s">
        <v>848</v>
      </c>
      <c r="B179" s="1" t="s">
        <v>849</v>
      </c>
      <c r="C179" s="1" t="s">
        <v>339</v>
      </c>
      <c r="D179" s="1" t="s">
        <v>340</v>
      </c>
      <c r="E179" s="1" t="s">
        <v>433</v>
      </c>
      <c r="F179" s="1" t="s">
        <v>342</v>
      </c>
      <c r="G179" s="1">
        <v>135</v>
      </c>
    </row>
    <row r="180" spans="1:7">
      <c r="A180" s="1" t="s">
        <v>850</v>
      </c>
      <c r="B180" s="1" t="s">
        <v>851</v>
      </c>
      <c r="C180" s="1" t="s">
        <v>511</v>
      </c>
      <c r="D180" s="1" t="s">
        <v>340</v>
      </c>
      <c r="E180" s="1" t="s">
        <v>852</v>
      </c>
      <c r="F180" s="1" t="s">
        <v>513</v>
      </c>
      <c r="G180" s="1">
        <v>775</v>
      </c>
    </row>
    <row r="181" spans="1:7">
      <c r="A181" s="1" t="s">
        <v>853</v>
      </c>
      <c r="B181" s="1" t="s">
        <v>854</v>
      </c>
      <c r="C181" s="1" t="s">
        <v>511</v>
      </c>
      <c r="D181" s="1" t="s">
        <v>340</v>
      </c>
      <c r="E181" s="1" t="s">
        <v>852</v>
      </c>
      <c r="F181" s="1" t="s">
        <v>513</v>
      </c>
      <c r="G181" s="1">
        <v>3500</v>
      </c>
    </row>
    <row r="182" spans="1:7">
      <c r="A182" s="1" t="s">
        <v>855</v>
      </c>
      <c r="B182" s="1" t="s">
        <v>856</v>
      </c>
      <c r="C182" s="1" t="s">
        <v>511</v>
      </c>
      <c r="D182" s="1" t="s">
        <v>340</v>
      </c>
      <c r="E182" s="1" t="s">
        <v>512</v>
      </c>
      <c r="F182" s="1" t="s">
        <v>513</v>
      </c>
      <c r="G182" s="1">
        <v>239</v>
      </c>
    </row>
    <row r="183" spans="1:7">
      <c r="A183" s="1" t="s">
        <v>215</v>
      </c>
      <c r="B183" s="1" t="s">
        <v>857</v>
      </c>
      <c r="C183" s="1" t="s">
        <v>858</v>
      </c>
      <c r="D183" s="1" t="s">
        <v>340</v>
      </c>
      <c r="E183" s="1" t="s">
        <v>859</v>
      </c>
      <c r="F183" s="1" t="s">
        <v>513</v>
      </c>
      <c r="G183" s="1">
        <v>250</v>
      </c>
    </row>
    <row r="184" spans="1:7">
      <c r="A184" s="1" t="s">
        <v>860</v>
      </c>
      <c r="B184" s="1" t="s">
        <v>861</v>
      </c>
      <c r="C184" s="1" t="s">
        <v>511</v>
      </c>
      <c r="D184" s="1" t="s">
        <v>340</v>
      </c>
      <c r="E184" s="1" t="s">
        <v>512</v>
      </c>
      <c r="F184" s="1" t="s">
        <v>513</v>
      </c>
      <c r="G184" s="1">
        <v>120</v>
      </c>
    </row>
    <row r="185" spans="1:7">
      <c r="A185" s="1" t="s">
        <v>862</v>
      </c>
      <c r="B185" s="1" t="s">
        <v>863</v>
      </c>
      <c r="C185" s="1" t="s">
        <v>440</v>
      </c>
      <c r="D185" s="1" t="s">
        <v>340</v>
      </c>
      <c r="E185" s="1" t="s">
        <v>441</v>
      </c>
      <c r="F185" s="1" t="s">
        <v>558</v>
      </c>
      <c r="G185" s="1">
        <v>200</v>
      </c>
    </row>
    <row r="186" spans="1:7">
      <c r="A186" s="1" t="s">
        <v>864</v>
      </c>
      <c r="B186" s="1" t="s">
        <v>865</v>
      </c>
      <c r="C186" s="1" t="s">
        <v>339</v>
      </c>
      <c r="D186" s="1" t="s">
        <v>340</v>
      </c>
      <c r="E186" s="1" t="s">
        <v>480</v>
      </c>
      <c r="F186" s="1" t="s">
        <v>342</v>
      </c>
      <c r="G186" s="1">
        <v>290</v>
      </c>
    </row>
    <row r="187" spans="1:7">
      <c r="A187" s="1" t="s">
        <v>866</v>
      </c>
      <c r="B187" s="1" t="s">
        <v>867</v>
      </c>
      <c r="C187" s="1" t="s">
        <v>339</v>
      </c>
      <c r="D187" s="1" t="s">
        <v>340</v>
      </c>
      <c r="E187" s="1" t="s">
        <v>677</v>
      </c>
      <c r="F187" s="1" t="s">
        <v>342</v>
      </c>
      <c r="G187" s="1">
        <v>201</v>
      </c>
    </row>
    <row r="188" spans="1:7">
      <c r="A188" s="1" t="s">
        <v>868</v>
      </c>
      <c r="B188" s="1" t="s">
        <v>869</v>
      </c>
      <c r="C188" s="1" t="s">
        <v>339</v>
      </c>
      <c r="D188" s="1" t="s">
        <v>340</v>
      </c>
      <c r="E188" s="1" t="s">
        <v>870</v>
      </c>
      <c r="F188" s="1" t="s">
        <v>342</v>
      </c>
      <c r="G188" s="1">
        <v>250</v>
      </c>
    </row>
    <row r="189" spans="1:7">
      <c r="A189" s="1" t="s">
        <v>871</v>
      </c>
      <c r="B189" s="1" t="s">
        <v>872</v>
      </c>
      <c r="C189" s="1" t="s">
        <v>556</v>
      </c>
      <c r="D189" s="1" t="s">
        <v>340</v>
      </c>
      <c r="E189" s="1" t="s">
        <v>557</v>
      </c>
      <c r="F189" s="1" t="s">
        <v>558</v>
      </c>
      <c r="G189" s="1">
        <v>112</v>
      </c>
    </row>
    <row r="190" spans="1:7">
      <c r="A190" s="1" t="s">
        <v>873</v>
      </c>
      <c r="B190" s="1" t="s">
        <v>874</v>
      </c>
      <c r="C190" s="1" t="s">
        <v>556</v>
      </c>
      <c r="D190" s="1" t="s">
        <v>340</v>
      </c>
      <c r="E190" s="1" t="s">
        <v>557</v>
      </c>
      <c r="F190" s="1" t="s">
        <v>558</v>
      </c>
      <c r="G190" s="1">
        <v>100</v>
      </c>
    </row>
    <row r="191" spans="1:7">
      <c r="A191" s="1" t="s">
        <v>875</v>
      </c>
      <c r="B191" s="1" t="s">
        <v>876</v>
      </c>
      <c r="C191" s="1" t="s">
        <v>397</v>
      </c>
      <c r="D191" s="1" t="s">
        <v>340</v>
      </c>
      <c r="E191" s="1" t="s">
        <v>398</v>
      </c>
      <c r="F191" s="1" t="s">
        <v>342</v>
      </c>
      <c r="G191" s="1">
        <v>100</v>
      </c>
    </row>
    <row r="192" spans="1:7">
      <c r="A192" s="1" t="s">
        <v>877</v>
      </c>
      <c r="B192" s="1" t="s">
        <v>878</v>
      </c>
      <c r="C192" s="1" t="s">
        <v>362</v>
      </c>
      <c r="D192" s="1" t="s">
        <v>340</v>
      </c>
      <c r="E192" s="1" t="s">
        <v>518</v>
      </c>
      <c r="F192" s="1" t="s">
        <v>364</v>
      </c>
      <c r="G192" s="1">
        <v>400</v>
      </c>
    </row>
    <row r="193" spans="1:7">
      <c r="A193" s="1" t="s">
        <v>879</v>
      </c>
      <c r="B193" s="1" t="s">
        <v>880</v>
      </c>
      <c r="C193" s="1" t="s">
        <v>511</v>
      </c>
      <c r="D193" s="1" t="s">
        <v>340</v>
      </c>
      <c r="E193" s="1" t="s">
        <v>512</v>
      </c>
      <c r="F193" s="1" t="s">
        <v>513</v>
      </c>
      <c r="G193" s="1">
        <v>111</v>
      </c>
    </row>
    <row r="194" spans="1:7">
      <c r="A194" s="1" t="s">
        <v>881</v>
      </c>
      <c r="B194" s="1" t="s">
        <v>882</v>
      </c>
      <c r="C194" s="1" t="s">
        <v>858</v>
      </c>
      <c r="D194" s="1" t="s">
        <v>340</v>
      </c>
      <c r="E194" s="1" t="s">
        <v>883</v>
      </c>
      <c r="F194" s="1" t="s">
        <v>513</v>
      </c>
      <c r="G194" s="1">
        <v>245</v>
      </c>
    </row>
    <row r="195" spans="1:7">
      <c r="A195" s="1" t="s">
        <v>216</v>
      </c>
      <c r="B195" s="1" t="s">
        <v>884</v>
      </c>
      <c r="C195" s="1" t="s">
        <v>440</v>
      </c>
      <c r="D195" s="1" t="s">
        <v>340</v>
      </c>
      <c r="E195" s="1" t="s">
        <v>885</v>
      </c>
      <c r="F195" s="1" t="s">
        <v>558</v>
      </c>
      <c r="G195" s="1">
        <v>243</v>
      </c>
    </row>
    <row r="196" spans="1:7">
      <c r="A196" s="1" t="s">
        <v>886</v>
      </c>
      <c r="B196" s="1" t="s">
        <v>887</v>
      </c>
      <c r="C196" s="1" t="s">
        <v>408</v>
      </c>
      <c r="D196" s="1" t="s">
        <v>340</v>
      </c>
      <c r="E196" s="1" t="s">
        <v>409</v>
      </c>
      <c r="F196" s="1" t="s">
        <v>357</v>
      </c>
      <c r="G196" s="1">
        <v>150</v>
      </c>
    </row>
    <row r="197" spans="1:7">
      <c r="A197" s="1" t="s">
        <v>888</v>
      </c>
      <c r="B197" s="1" t="s">
        <v>889</v>
      </c>
      <c r="C197" s="1" t="s">
        <v>339</v>
      </c>
      <c r="D197" s="1" t="s">
        <v>340</v>
      </c>
      <c r="E197" s="1" t="s">
        <v>480</v>
      </c>
      <c r="F197" s="1" t="s">
        <v>357</v>
      </c>
      <c r="G197" s="1">
        <v>284</v>
      </c>
    </row>
    <row r="198" spans="1:7">
      <c r="A198" s="1" t="s">
        <v>890</v>
      </c>
      <c r="B198" s="1" t="s">
        <v>891</v>
      </c>
      <c r="C198" s="1" t="s">
        <v>723</v>
      </c>
      <c r="D198" s="1" t="s">
        <v>340</v>
      </c>
      <c r="E198" s="1" t="s">
        <v>724</v>
      </c>
      <c r="F198" s="1" t="s">
        <v>364</v>
      </c>
      <c r="G198" s="1">
        <v>250</v>
      </c>
    </row>
    <row r="199" spans="1:7">
      <c r="A199" s="1" t="s">
        <v>892</v>
      </c>
      <c r="B199" s="1" t="s">
        <v>893</v>
      </c>
      <c r="C199" s="1" t="s">
        <v>467</v>
      </c>
      <c r="D199" s="1" t="s">
        <v>64</v>
      </c>
      <c r="E199" s="1" t="s">
        <v>468</v>
      </c>
      <c r="F199" s="1" t="s">
        <v>351</v>
      </c>
      <c r="G199" s="1">
        <v>700</v>
      </c>
    </row>
    <row r="200" spans="1:7">
      <c r="A200" s="1" t="s">
        <v>894</v>
      </c>
      <c r="B200" s="1" t="s">
        <v>895</v>
      </c>
      <c r="C200" s="1" t="s">
        <v>511</v>
      </c>
      <c r="D200" s="1" t="s">
        <v>340</v>
      </c>
      <c r="E200" s="1" t="s">
        <v>536</v>
      </c>
      <c r="F200" s="1" t="s">
        <v>513</v>
      </c>
      <c r="G200" s="1">
        <v>300</v>
      </c>
    </row>
    <row r="201" spans="1:7">
      <c r="A201" s="1" t="s">
        <v>896</v>
      </c>
      <c r="B201" s="1" t="s">
        <v>897</v>
      </c>
      <c r="C201" s="1" t="s">
        <v>339</v>
      </c>
      <c r="D201" s="1" t="s">
        <v>340</v>
      </c>
      <c r="E201" s="1" t="s">
        <v>376</v>
      </c>
      <c r="F201" s="1" t="s">
        <v>342</v>
      </c>
      <c r="G201" s="1">
        <v>140</v>
      </c>
    </row>
    <row r="202" spans="1:7">
      <c r="A202" s="1" t="s">
        <v>217</v>
      </c>
      <c r="B202" s="1" t="s">
        <v>898</v>
      </c>
      <c r="C202" s="1" t="s">
        <v>75</v>
      </c>
      <c r="D202" s="1" t="s">
        <v>76</v>
      </c>
      <c r="E202" s="1" t="s">
        <v>899</v>
      </c>
      <c r="F202" s="1" t="s">
        <v>357</v>
      </c>
      <c r="G202" s="1">
        <v>195</v>
      </c>
    </row>
    <row r="203" spans="1:7">
      <c r="A203" s="1" t="s">
        <v>900</v>
      </c>
      <c r="B203" s="1" t="s">
        <v>901</v>
      </c>
      <c r="C203" s="1" t="s">
        <v>349</v>
      </c>
      <c r="D203" s="1" t="s">
        <v>64</v>
      </c>
      <c r="E203" s="1" t="s">
        <v>350</v>
      </c>
      <c r="F203" s="1" t="s">
        <v>351</v>
      </c>
      <c r="G203" s="1">
        <v>144</v>
      </c>
    </row>
    <row r="204" spans="1:7">
      <c r="A204" s="1" t="s">
        <v>902</v>
      </c>
      <c r="B204" s="1" t="s">
        <v>903</v>
      </c>
      <c r="C204" s="1" t="s">
        <v>904</v>
      </c>
      <c r="D204" s="1" t="s">
        <v>799</v>
      </c>
      <c r="E204" s="1" t="s">
        <v>905</v>
      </c>
      <c r="F204" s="1" t="s">
        <v>357</v>
      </c>
      <c r="G204" s="1">
        <v>250</v>
      </c>
    </row>
    <row r="205" spans="1:7">
      <c r="A205" s="1" t="s">
        <v>906</v>
      </c>
      <c r="B205" s="1" t="s">
        <v>907</v>
      </c>
      <c r="C205" s="1" t="s">
        <v>339</v>
      </c>
      <c r="D205" s="1" t="s">
        <v>340</v>
      </c>
      <c r="E205" s="1" t="s">
        <v>715</v>
      </c>
      <c r="F205" s="1" t="s">
        <v>342</v>
      </c>
      <c r="G205" s="1">
        <v>170</v>
      </c>
    </row>
    <row r="206" spans="1:7">
      <c r="A206" s="1" t="s">
        <v>906</v>
      </c>
      <c r="B206" s="1" t="s">
        <v>908</v>
      </c>
      <c r="C206" s="1" t="s">
        <v>397</v>
      </c>
      <c r="D206" s="1" t="s">
        <v>340</v>
      </c>
      <c r="E206" s="1" t="s">
        <v>398</v>
      </c>
      <c r="F206" s="1" t="s">
        <v>342</v>
      </c>
      <c r="G206" s="1">
        <v>170</v>
      </c>
    </row>
    <row r="207" spans="1:7">
      <c r="A207" s="1" t="s">
        <v>909</v>
      </c>
      <c r="B207" s="1" t="s">
        <v>910</v>
      </c>
      <c r="C207" s="1" t="s">
        <v>339</v>
      </c>
      <c r="D207" s="1" t="s">
        <v>340</v>
      </c>
      <c r="E207" s="1" t="s">
        <v>870</v>
      </c>
      <c r="F207" s="1" t="s">
        <v>342</v>
      </c>
      <c r="G207" s="1">
        <v>250</v>
      </c>
    </row>
    <row r="208" spans="1:7">
      <c r="A208" s="1" t="s">
        <v>911</v>
      </c>
      <c r="B208" s="1" t="s">
        <v>912</v>
      </c>
      <c r="C208" s="1" t="s">
        <v>436</v>
      </c>
      <c r="D208" s="1" t="s">
        <v>340</v>
      </c>
      <c r="E208" s="1" t="s">
        <v>771</v>
      </c>
      <c r="F208" s="1" t="s">
        <v>565</v>
      </c>
      <c r="G208" s="1">
        <v>100</v>
      </c>
    </row>
    <row r="209" spans="1:7">
      <c r="A209" s="1" t="s">
        <v>913</v>
      </c>
      <c r="B209" s="1" t="s">
        <v>914</v>
      </c>
      <c r="C209" s="1" t="s">
        <v>345</v>
      </c>
      <c r="D209" s="1" t="s">
        <v>340</v>
      </c>
      <c r="E209" s="1" t="s">
        <v>422</v>
      </c>
      <c r="F209" s="1" t="s">
        <v>347</v>
      </c>
      <c r="G209" s="1">
        <v>110</v>
      </c>
    </row>
    <row r="210" spans="1:7">
      <c r="A210" s="1" t="s">
        <v>913</v>
      </c>
      <c r="B210" s="1" t="s">
        <v>915</v>
      </c>
      <c r="C210" s="1" t="s">
        <v>524</v>
      </c>
      <c r="D210" s="1" t="s">
        <v>340</v>
      </c>
      <c r="E210" s="1" t="s">
        <v>525</v>
      </c>
      <c r="F210" s="1" t="s">
        <v>526</v>
      </c>
      <c r="G210" s="1">
        <v>135</v>
      </c>
    </row>
    <row r="211" spans="1:7">
      <c r="A211" s="1" t="s">
        <v>916</v>
      </c>
      <c r="B211" s="1" t="s">
        <v>917</v>
      </c>
      <c r="C211" s="1" t="s">
        <v>918</v>
      </c>
      <c r="D211" s="1" t="s">
        <v>64</v>
      </c>
      <c r="E211" s="1" t="s">
        <v>919</v>
      </c>
      <c r="F211" s="1" t="s">
        <v>533</v>
      </c>
      <c r="G211" s="1">
        <v>135</v>
      </c>
    </row>
    <row r="212" spans="1:7">
      <c r="A212" s="1" t="s">
        <v>920</v>
      </c>
      <c r="B212" s="1" t="s">
        <v>921</v>
      </c>
      <c r="C212" s="1" t="s">
        <v>687</v>
      </c>
      <c r="D212" s="1" t="s">
        <v>340</v>
      </c>
      <c r="E212" s="1" t="s">
        <v>688</v>
      </c>
      <c r="F212" s="1" t="s">
        <v>347</v>
      </c>
      <c r="G212" s="1">
        <v>140</v>
      </c>
    </row>
    <row r="213" spans="1:7">
      <c r="A213" s="1" t="s">
        <v>922</v>
      </c>
      <c r="B213" s="1" t="s">
        <v>923</v>
      </c>
      <c r="C213" s="1" t="s">
        <v>349</v>
      </c>
      <c r="D213" s="1" t="s">
        <v>64</v>
      </c>
      <c r="E213" s="1" t="s">
        <v>350</v>
      </c>
      <c r="F213" s="1" t="s">
        <v>351</v>
      </c>
      <c r="G213" s="1">
        <v>139</v>
      </c>
    </row>
    <row r="214" spans="1:7">
      <c r="A214" s="1" t="s">
        <v>924</v>
      </c>
      <c r="B214" s="1" t="s">
        <v>925</v>
      </c>
      <c r="C214" s="1" t="s">
        <v>339</v>
      </c>
      <c r="D214" s="1" t="s">
        <v>340</v>
      </c>
      <c r="E214" s="1" t="s">
        <v>735</v>
      </c>
      <c r="F214" s="1" t="s">
        <v>342</v>
      </c>
      <c r="G214" s="1">
        <v>600</v>
      </c>
    </row>
    <row r="215" spans="1:7">
      <c r="A215" s="1" t="s">
        <v>926</v>
      </c>
      <c r="B215" s="1" t="s">
        <v>927</v>
      </c>
      <c r="C215" s="1" t="s">
        <v>440</v>
      </c>
      <c r="D215" s="1" t="s">
        <v>340</v>
      </c>
      <c r="E215" s="1" t="s">
        <v>441</v>
      </c>
      <c r="F215" s="1" t="s">
        <v>558</v>
      </c>
      <c r="G215" s="1">
        <v>150</v>
      </c>
    </row>
    <row r="216" spans="1:7">
      <c r="A216" s="1" t="s">
        <v>218</v>
      </c>
      <c r="B216" s="1" t="s">
        <v>928</v>
      </c>
      <c r="C216" s="1" t="s">
        <v>339</v>
      </c>
      <c r="D216" s="1" t="s">
        <v>340</v>
      </c>
      <c r="E216" s="1" t="s">
        <v>613</v>
      </c>
      <c r="F216" s="1" t="s">
        <v>342</v>
      </c>
      <c r="G216" s="1">
        <v>140</v>
      </c>
    </row>
    <row r="217" spans="1:7">
      <c r="A217" s="1" t="s">
        <v>929</v>
      </c>
      <c r="B217" s="1" t="s">
        <v>930</v>
      </c>
      <c r="C217" s="1" t="s">
        <v>339</v>
      </c>
      <c r="D217" s="1" t="s">
        <v>340</v>
      </c>
      <c r="E217" s="1" t="s">
        <v>629</v>
      </c>
      <c r="F217" s="1" t="s">
        <v>342</v>
      </c>
      <c r="G217" s="1">
        <v>312</v>
      </c>
    </row>
    <row r="218" spans="1:7">
      <c r="A218" s="1" t="s">
        <v>931</v>
      </c>
      <c r="B218" s="1" t="s">
        <v>932</v>
      </c>
      <c r="C218" s="1" t="s">
        <v>339</v>
      </c>
      <c r="D218" s="1" t="s">
        <v>340</v>
      </c>
      <c r="E218" s="1" t="s">
        <v>390</v>
      </c>
      <c r="F218" s="1" t="s">
        <v>342</v>
      </c>
      <c r="G218" s="1">
        <v>110</v>
      </c>
    </row>
    <row r="219" spans="1:7">
      <c r="A219" s="1" t="s">
        <v>933</v>
      </c>
      <c r="B219" s="1" t="s">
        <v>934</v>
      </c>
      <c r="C219" s="1" t="s">
        <v>935</v>
      </c>
      <c r="D219" s="1" t="s">
        <v>340</v>
      </c>
      <c r="E219" s="1" t="s">
        <v>487</v>
      </c>
      <c r="F219" s="1" t="s">
        <v>347</v>
      </c>
      <c r="G219" s="1">
        <v>196</v>
      </c>
    </row>
    <row r="220" spans="1:7">
      <c r="A220" s="1" t="s">
        <v>936</v>
      </c>
      <c r="B220" s="1" t="s">
        <v>937</v>
      </c>
      <c r="C220" s="1" t="s">
        <v>339</v>
      </c>
      <c r="D220" s="1" t="s">
        <v>340</v>
      </c>
      <c r="E220" s="1" t="s">
        <v>457</v>
      </c>
      <c r="F220" s="1" t="s">
        <v>342</v>
      </c>
      <c r="G220" s="1">
        <v>325</v>
      </c>
    </row>
    <row r="221" spans="1:7">
      <c r="A221" s="1" t="s">
        <v>938</v>
      </c>
      <c r="B221" s="1" t="s">
        <v>939</v>
      </c>
      <c r="C221" s="1" t="s">
        <v>339</v>
      </c>
      <c r="D221" s="1" t="s">
        <v>340</v>
      </c>
      <c r="E221" s="1" t="s">
        <v>594</v>
      </c>
      <c r="F221" s="1" t="s">
        <v>342</v>
      </c>
      <c r="G221" s="1">
        <v>100</v>
      </c>
    </row>
    <row r="222" spans="1:7">
      <c r="A222" s="1" t="s">
        <v>940</v>
      </c>
      <c r="B222" s="1" t="s">
        <v>941</v>
      </c>
      <c r="C222" s="1" t="s">
        <v>339</v>
      </c>
      <c r="D222" s="1" t="s">
        <v>340</v>
      </c>
      <c r="E222" s="1" t="s">
        <v>677</v>
      </c>
      <c r="F222" s="1" t="s">
        <v>342</v>
      </c>
      <c r="G222" s="1">
        <v>175</v>
      </c>
    </row>
    <row r="223" spans="1:7">
      <c r="A223" s="1" t="s">
        <v>942</v>
      </c>
      <c r="B223" s="1" t="s">
        <v>943</v>
      </c>
      <c r="C223" s="1" t="s">
        <v>339</v>
      </c>
      <c r="D223" s="1" t="s">
        <v>340</v>
      </c>
      <c r="E223" s="1" t="s">
        <v>508</v>
      </c>
      <c r="F223" s="1" t="s">
        <v>342</v>
      </c>
      <c r="G223" s="1">
        <v>100</v>
      </c>
    </row>
    <row r="224" spans="1:7">
      <c r="A224" s="1" t="s">
        <v>944</v>
      </c>
      <c r="B224" s="1" t="s">
        <v>945</v>
      </c>
      <c r="C224" s="1" t="s">
        <v>339</v>
      </c>
      <c r="D224" s="1" t="s">
        <v>340</v>
      </c>
      <c r="E224" s="1" t="s">
        <v>613</v>
      </c>
      <c r="F224" s="1" t="s">
        <v>342</v>
      </c>
      <c r="G224" s="1">
        <v>100</v>
      </c>
    </row>
    <row r="225" spans="1:7">
      <c r="A225" s="1" t="s">
        <v>946</v>
      </c>
      <c r="B225" s="1" t="s">
        <v>947</v>
      </c>
      <c r="C225" s="1" t="s">
        <v>339</v>
      </c>
      <c r="D225" s="1" t="s">
        <v>340</v>
      </c>
      <c r="E225" s="1" t="s">
        <v>480</v>
      </c>
      <c r="F225" s="1" t="s">
        <v>357</v>
      </c>
      <c r="G225" s="1">
        <v>1500</v>
      </c>
    </row>
    <row r="226" spans="1:7">
      <c r="A226" s="1" t="s">
        <v>948</v>
      </c>
      <c r="B226" s="1" t="s">
        <v>949</v>
      </c>
      <c r="C226" s="1" t="s">
        <v>379</v>
      </c>
      <c r="D226" s="1" t="s">
        <v>340</v>
      </c>
      <c r="E226" s="1" t="s">
        <v>380</v>
      </c>
      <c r="F226" s="1" t="s">
        <v>381</v>
      </c>
      <c r="G226" s="1">
        <v>350</v>
      </c>
    </row>
    <row r="227" spans="1:7">
      <c r="A227" s="1" t="s">
        <v>950</v>
      </c>
      <c r="B227" s="1" t="s">
        <v>951</v>
      </c>
      <c r="C227" s="1" t="s">
        <v>436</v>
      </c>
      <c r="D227" s="1" t="s">
        <v>340</v>
      </c>
      <c r="E227" s="1">
        <v>28145</v>
      </c>
      <c r="F227" s="1" t="s">
        <v>565</v>
      </c>
      <c r="G227" s="1">
        <v>110</v>
      </c>
    </row>
    <row r="228" spans="1:7">
      <c r="A228" s="1" t="s">
        <v>952</v>
      </c>
      <c r="B228" s="1" t="s">
        <v>953</v>
      </c>
      <c r="C228" s="1" t="s">
        <v>339</v>
      </c>
      <c r="D228" s="1" t="s">
        <v>340</v>
      </c>
      <c r="E228" s="1" t="s">
        <v>341</v>
      </c>
      <c r="F228" s="1" t="s">
        <v>342</v>
      </c>
      <c r="G228" s="1">
        <v>150</v>
      </c>
    </row>
    <row r="229" spans="1:7">
      <c r="A229" s="1" t="s">
        <v>219</v>
      </c>
      <c r="B229" s="1" t="s">
        <v>954</v>
      </c>
      <c r="C229" s="1" t="s">
        <v>339</v>
      </c>
      <c r="D229" s="1" t="s">
        <v>340</v>
      </c>
      <c r="E229" s="1" t="s">
        <v>955</v>
      </c>
      <c r="F229" s="1" t="s">
        <v>357</v>
      </c>
      <c r="G229" s="1">
        <v>26283</v>
      </c>
    </row>
    <row r="230" spans="1:7">
      <c r="A230" s="1" t="s">
        <v>956</v>
      </c>
      <c r="B230" s="1" t="s">
        <v>957</v>
      </c>
      <c r="C230" s="1" t="s">
        <v>339</v>
      </c>
      <c r="D230" s="1" t="s">
        <v>340</v>
      </c>
      <c r="E230" s="1" t="s">
        <v>663</v>
      </c>
      <c r="F230" s="1" t="s">
        <v>342</v>
      </c>
      <c r="G230" s="1">
        <v>130</v>
      </c>
    </row>
    <row r="231" spans="1:7">
      <c r="A231" s="1" t="s">
        <v>958</v>
      </c>
      <c r="B231" s="1" t="s">
        <v>959</v>
      </c>
      <c r="C231" s="1" t="s">
        <v>412</v>
      </c>
      <c r="D231" s="1" t="s">
        <v>340</v>
      </c>
      <c r="E231" s="1" t="s">
        <v>586</v>
      </c>
      <c r="F231" s="1" t="s">
        <v>414</v>
      </c>
      <c r="G231" s="1">
        <v>115</v>
      </c>
    </row>
    <row r="232" spans="1:7">
      <c r="A232" s="1" t="s">
        <v>220</v>
      </c>
      <c r="B232" s="1" t="s">
        <v>960</v>
      </c>
      <c r="C232" s="1" t="s">
        <v>345</v>
      </c>
      <c r="D232" s="1" t="s">
        <v>340</v>
      </c>
      <c r="E232" s="1" t="s">
        <v>346</v>
      </c>
      <c r="F232" s="1" t="s">
        <v>347</v>
      </c>
      <c r="G232" s="1">
        <v>3230</v>
      </c>
    </row>
    <row r="233" spans="1:7">
      <c r="A233" s="1" t="s">
        <v>961</v>
      </c>
      <c r="B233" s="1" t="s">
        <v>962</v>
      </c>
      <c r="C233" s="1" t="s">
        <v>401</v>
      </c>
      <c r="D233" s="1" t="s">
        <v>340</v>
      </c>
      <c r="E233" s="1" t="s">
        <v>553</v>
      </c>
      <c r="F233" s="1" t="s">
        <v>342</v>
      </c>
      <c r="G233" s="1">
        <v>105</v>
      </c>
    </row>
    <row r="234" spans="1:7">
      <c r="A234" s="1" t="s">
        <v>221</v>
      </c>
      <c r="B234" s="1" t="s">
        <v>963</v>
      </c>
      <c r="C234" s="1" t="s">
        <v>447</v>
      </c>
      <c r="D234" s="1" t="s">
        <v>340</v>
      </c>
      <c r="E234" s="1" t="s">
        <v>448</v>
      </c>
      <c r="F234" s="1" t="s">
        <v>449</v>
      </c>
      <c r="G234" s="1">
        <v>100</v>
      </c>
    </row>
    <row r="235" spans="1:7">
      <c r="A235" s="1" t="s">
        <v>221</v>
      </c>
      <c r="B235" s="1" t="s">
        <v>964</v>
      </c>
      <c r="C235" s="1" t="s">
        <v>556</v>
      </c>
      <c r="D235" s="1" t="s">
        <v>340</v>
      </c>
      <c r="E235" s="1" t="s">
        <v>557</v>
      </c>
      <c r="F235" s="1" t="s">
        <v>357</v>
      </c>
      <c r="G235" s="1">
        <v>380</v>
      </c>
    </row>
    <row r="236" spans="1:7">
      <c r="A236" s="1" t="s">
        <v>965</v>
      </c>
      <c r="B236" s="1" t="s">
        <v>966</v>
      </c>
      <c r="C236" s="1" t="s">
        <v>440</v>
      </c>
      <c r="D236" s="1" t="s">
        <v>340</v>
      </c>
      <c r="E236" s="1" t="s">
        <v>441</v>
      </c>
      <c r="F236" s="1" t="s">
        <v>558</v>
      </c>
      <c r="G236" s="1">
        <v>100</v>
      </c>
    </row>
    <row r="237" spans="1:7">
      <c r="A237" s="1" t="s">
        <v>967</v>
      </c>
      <c r="B237" s="1" t="s">
        <v>968</v>
      </c>
      <c r="C237" s="1" t="s">
        <v>511</v>
      </c>
      <c r="D237" s="1" t="s">
        <v>340</v>
      </c>
      <c r="E237" s="1" t="s">
        <v>536</v>
      </c>
      <c r="F237" s="1" t="s">
        <v>513</v>
      </c>
      <c r="G237" s="1">
        <v>130</v>
      </c>
    </row>
    <row r="238" spans="1:7">
      <c r="A238" s="1" t="s">
        <v>969</v>
      </c>
      <c r="B238" s="1" t="s">
        <v>970</v>
      </c>
      <c r="C238" s="1" t="s">
        <v>971</v>
      </c>
      <c r="D238" s="1" t="s">
        <v>840</v>
      </c>
      <c r="E238" s="1" t="s">
        <v>972</v>
      </c>
      <c r="F238" s="1" t="s">
        <v>357</v>
      </c>
      <c r="G238" s="1">
        <v>350</v>
      </c>
    </row>
    <row r="239" spans="1:7">
      <c r="A239" s="1" t="s">
        <v>973</v>
      </c>
      <c r="B239" s="1" t="s">
        <v>974</v>
      </c>
      <c r="C239" s="1" t="s">
        <v>339</v>
      </c>
      <c r="D239" s="1" t="s">
        <v>340</v>
      </c>
      <c r="E239" s="1" t="s">
        <v>471</v>
      </c>
      <c r="F239" s="1" t="s">
        <v>342</v>
      </c>
      <c r="G239" s="1">
        <v>100</v>
      </c>
    </row>
    <row r="240" spans="1:7">
      <c r="A240" s="1" t="s">
        <v>975</v>
      </c>
      <c r="B240" s="1" t="s">
        <v>976</v>
      </c>
      <c r="C240" s="1" t="s">
        <v>339</v>
      </c>
      <c r="D240" s="1" t="s">
        <v>340</v>
      </c>
      <c r="E240" s="1" t="s">
        <v>870</v>
      </c>
      <c r="F240" s="1" t="s">
        <v>342</v>
      </c>
      <c r="G240" s="1">
        <v>189</v>
      </c>
    </row>
    <row r="241" spans="1:7">
      <c r="A241" s="1" t="s">
        <v>977</v>
      </c>
      <c r="B241" s="1" t="s">
        <v>978</v>
      </c>
      <c r="C241" s="1" t="s">
        <v>339</v>
      </c>
      <c r="D241" s="1" t="s">
        <v>340</v>
      </c>
      <c r="E241" s="1" t="s">
        <v>341</v>
      </c>
      <c r="F241" s="1" t="s">
        <v>342</v>
      </c>
      <c r="G241" s="1">
        <v>300</v>
      </c>
    </row>
    <row r="242" spans="1:7">
      <c r="A242" s="1" t="s">
        <v>222</v>
      </c>
      <c r="B242" s="1" t="s">
        <v>979</v>
      </c>
      <c r="C242" s="1" t="s">
        <v>401</v>
      </c>
      <c r="D242" s="1" t="s">
        <v>340</v>
      </c>
      <c r="E242" s="1" t="s">
        <v>980</v>
      </c>
      <c r="F242" s="1" t="s">
        <v>342</v>
      </c>
      <c r="G242" s="1">
        <v>190</v>
      </c>
    </row>
    <row r="243" spans="1:7">
      <c r="A243" s="1" t="s">
        <v>981</v>
      </c>
      <c r="B243" s="1" t="s">
        <v>982</v>
      </c>
      <c r="C243" s="1" t="s">
        <v>436</v>
      </c>
      <c r="D243" s="1" t="s">
        <v>340</v>
      </c>
      <c r="E243" s="1" t="s">
        <v>771</v>
      </c>
      <c r="F243" s="1" t="s">
        <v>565</v>
      </c>
      <c r="G243" s="1">
        <v>100</v>
      </c>
    </row>
    <row r="244" spans="1:7">
      <c r="A244" s="1" t="s">
        <v>983</v>
      </c>
      <c r="B244" s="1" t="s">
        <v>984</v>
      </c>
      <c r="C244" s="1" t="s">
        <v>379</v>
      </c>
      <c r="D244" s="1" t="s">
        <v>340</v>
      </c>
      <c r="E244" s="1" t="s">
        <v>380</v>
      </c>
      <c r="F244" s="1" t="s">
        <v>381</v>
      </c>
      <c r="G244" s="1">
        <v>120</v>
      </c>
    </row>
    <row r="245" spans="1:7">
      <c r="A245" s="1" t="s">
        <v>223</v>
      </c>
      <c r="B245" s="1" t="s">
        <v>985</v>
      </c>
      <c r="C245" s="1" t="s">
        <v>436</v>
      </c>
      <c r="D245" s="1" t="s">
        <v>340</v>
      </c>
      <c r="E245" s="1" t="s">
        <v>610</v>
      </c>
      <c r="F245" s="1" t="s">
        <v>565</v>
      </c>
      <c r="G245" s="1">
        <v>258</v>
      </c>
    </row>
    <row r="246" spans="1:7">
      <c r="A246" s="1" t="s">
        <v>986</v>
      </c>
      <c r="B246" s="1" t="s">
        <v>987</v>
      </c>
      <c r="C246" s="1" t="s">
        <v>666</v>
      </c>
      <c r="D246" s="1" t="s">
        <v>340</v>
      </c>
      <c r="E246" s="1" t="s">
        <v>667</v>
      </c>
      <c r="F246" s="1" t="s">
        <v>558</v>
      </c>
      <c r="G246" s="1">
        <v>1179</v>
      </c>
    </row>
    <row r="247" spans="1:7">
      <c r="A247" s="1" t="s">
        <v>988</v>
      </c>
      <c r="B247" s="1" t="s">
        <v>989</v>
      </c>
      <c r="C247" s="1" t="s">
        <v>666</v>
      </c>
      <c r="D247" s="1" t="s">
        <v>340</v>
      </c>
      <c r="E247" s="1" t="s">
        <v>667</v>
      </c>
      <c r="F247" s="1" t="s">
        <v>558</v>
      </c>
      <c r="G247" s="1">
        <v>2000</v>
      </c>
    </row>
    <row r="248" spans="1:7">
      <c r="A248" s="1" t="s">
        <v>990</v>
      </c>
      <c r="B248" s="1" t="s">
        <v>991</v>
      </c>
      <c r="C248" s="1" t="s">
        <v>556</v>
      </c>
      <c r="D248" s="1" t="s">
        <v>340</v>
      </c>
      <c r="E248" s="1" t="s">
        <v>557</v>
      </c>
      <c r="F248" s="1" t="s">
        <v>558</v>
      </c>
      <c r="G248" s="1">
        <v>100</v>
      </c>
    </row>
    <row r="249" spans="1:7">
      <c r="A249" s="1" t="s">
        <v>224</v>
      </c>
      <c r="B249" s="1" t="s">
        <v>992</v>
      </c>
      <c r="C249" s="1" t="s">
        <v>440</v>
      </c>
      <c r="D249" s="1" t="s">
        <v>340</v>
      </c>
      <c r="E249" s="1" t="s">
        <v>885</v>
      </c>
      <c r="F249" s="1" t="s">
        <v>558</v>
      </c>
      <c r="G249" s="1">
        <v>320</v>
      </c>
    </row>
    <row r="250" spans="1:7">
      <c r="A250" s="1" t="s">
        <v>993</v>
      </c>
      <c r="B250" s="1" t="s">
        <v>994</v>
      </c>
      <c r="C250" s="1" t="s">
        <v>440</v>
      </c>
      <c r="D250" s="1" t="s">
        <v>340</v>
      </c>
      <c r="E250" s="1" t="s">
        <v>885</v>
      </c>
      <c r="F250" s="1" t="s">
        <v>558</v>
      </c>
      <c r="G250" s="1">
        <v>1438</v>
      </c>
    </row>
    <row r="251" spans="1:7">
      <c r="A251" s="1" t="s">
        <v>995</v>
      </c>
      <c r="B251" s="1" t="s">
        <v>996</v>
      </c>
      <c r="C251" s="1" t="s">
        <v>339</v>
      </c>
      <c r="D251" s="1" t="s">
        <v>340</v>
      </c>
      <c r="E251" s="1" t="s">
        <v>373</v>
      </c>
      <c r="F251" s="1" t="s">
        <v>357</v>
      </c>
      <c r="G251" s="1">
        <v>600</v>
      </c>
    </row>
    <row r="252" spans="1:7">
      <c r="A252" s="1" t="s">
        <v>997</v>
      </c>
      <c r="B252" s="1" t="s">
        <v>998</v>
      </c>
      <c r="C252" s="1" t="s">
        <v>999</v>
      </c>
      <c r="D252" s="1" t="s">
        <v>1000</v>
      </c>
      <c r="E252" s="1">
        <v>37088</v>
      </c>
      <c r="F252" s="1" t="s">
        <v>357</v>
      </c>
      <c r="G252" s="1">
        <v>250</v>
      </c>
    </row>
    <row r="253" spans="1:7">
      <c r="A253" s="1" t="s">
        <v>1001</v>
      </c>
      <c r="B253" s="1" t="s">
        <v>1002</v>
      </c>
      <c r="C253" s="1" t="s">
        <v>339</v>
      </c>
      <c r="D253" s="1" t="s">
        <v>340</v>
      </c>
      <c r="E253" s="1" t="s">
        <v>629</v>
      </c>
      <c r="F253" s="1" t="s">
        <v>342</v>
      </c>
      <c r="G253" s="1">
        <v>130</v>
      </c>
    </row>
    <row r="254" spans="1:7">
      <c r="A254" s="1" t="s">
        <v>1003</v>
      </c>
      <c r="B254" s="1" t="s">
        <v>1004</v>
      </c>
      <c r="C254" s="1" t="s">
        <v>339</v>
      </c>
      <c r="D254" s="1" t="s">
        <v>340</v>
      </c>
      <c r="E254" s="1" t="s">
        <v>480</v>
      </c>
      <c r="F254" s="1" t="s">
        <v>342</v>
      </c>
      <c r="G254" s="1">
        <v>115</v>
      </c>
    </row>
    <row r="255" spans="1:7">
      <c r="A255" s="1" t="s">
        <v>1005</v>
      </c>
      <c r="B255" s="1" t="s">
        <v>1006</v>
      </c>
      <c r="C255" s="1" t="s">
        <v>339</v>
      </c>
      <c r="D255" s="1" t="s">
        <v>340</v>
      </c>
      <c r="E255" s="1" t="s">
        <v>471</v>
      </c>
      <c r="F255" s="1" t="s">
        <v>342</v>
      </c>
      <c r="G255" s="1">
        <v>243</v>
      </c>
    </row>
    <row r="256" spans="1:7">
      <c r="A256" s="1" t="s">
        <v>1007</v>
      </c>
      <c r="B256" s="1" t="s">
        <v>1008</v>
      </c>
      <c r="C256" s="1" t="s">
        <v>401</v>
      </c>
      <c r="D256" s="1" t="s">
        <v>340</v>
      </c>
      <c r="E256" s="1" t="s">
        <v>553</v>
      </c>
      <c r="F256" s="1" t="s">
        <v>414</v>
      </c>
      <c r="G256" s="1">
        <v>150</v>
      </c>
    </row>
    <row r="257" spans="1:7">
      <c r="A257" s="1" t="s">
        <v>1009</v>
      </c>
      <c r="B257" s="1" t="s">
        <v>1010</v>
      </c>
      <c r="C257" s="1" t="s">
        <v>339</v>
      </c>
      <c r="D257" s="1" t="s">
        <v>340</v>
      </c>
      <c r="E257" s="1" t="s">
        <v>1011</v>
      </c>
      <c r="F257" s="1" t="s">
        <v>342</v>
      </c>
      <c r="G257" s="1">
        <v>165</v>
      </c>
    </row>
    <row r="258" spans="1:7">
      <c r="A258" s="1" t="s">
        <v>1012</v>
      </c>
      <c r="B258" s="1" t="s">
        <v>1013</v>
      </c>
      <c r="C258" s="1" t="s">
        <v>339</v>
      </c>
      <c r="D258" s="1" t="s">
        <v>340</v>
      </c>
      <c r="E258" s="1" t="s">
        <v>1014</v>
      </c>
      <c r="F258" s="1" t="s">
        <v>342</v>
      </c>
      <c r="G258" s="1">
        <v>2053</v>
      </c>
    </row>
    <row r="259" spans="1:7">
      <c r="A259" s="1" t="s">
        <v>1015</v>
      </c>
      <c r="B259" s="1" t="s">
        <v>1016</v>
      </c>
      <c r="C259" s="1" t="s">
        <v>1017</v>
      </c>
      <c r="D259" s="1" t="s">
        <v>340</v>
      </c>
      <c r="E259" s="1" t="s">
        <v>1018</v>
      </c>
      <c r="F259" s="1" t="s">
        <v>558</v>
      </c>
      <c r="G259" s="1">
        <v>154</v>
      </c>
    </row>
    <row r="260" spans="1:7">
      <c r="A260" s="1" t="s">
        <v>1019</v>
      </c>
      <c r="B260" s="1" t="s">
        <v>1020</v>
      </c>
      <c r="C260" s="1" t="s">
        <v>89</v>
      </c>
      <c r="D260" s="1" t="s">
        <v>340</v>
      </c>
      <c r="E260" s="1" t="s">
        <v>1021</v>
      </c>
      <c r="F260" s="1" t="s">
        <v>381</v>
      </c>
      <c r="G260" s="1">
        <v>126</v>
      </c>
    </row>
    <row r="261" spans="1:7">
      <c r="A261" s="1" t="s">
        <v>1022</v>
      </c>
      <c r="B261" s="1" t="s">
        <v>1023</v>
      </c>
      <c r="C261" s="1" t="s">
        <v>401</v>
      </c>
      <c r="D261" s="1" t="s">
        <v>340</v>
      </c>
      <c r="E261" s="1" t="s">
        <v>402</v>
      </c>
      <c r="F261" s="1" t="s">
        <v>342</v>
      </c>
      <c r="G261" s="1">
        <v>250</v>
      </c>
    </row>
    <row r="262" spans="1:7">
      <c r="A262" s="1" t="s">
        <v>1024</v>
      </c>
      <c r="B262" s="1" t="s">
        <v>1025</v>
      </c>
      <c r="C262" s="1" t="s">
        <v>440</v>
      </c>
      <c r="D262" s="1" t="s">
        <v>340</v>
      </c>
      <c r="E262" s="1" t="s">
        <v>441</v>
      </c>
      <c r="F262" s="1" t="s">
        <v>357</v>
      </c>
      <c r="G262" s="1">
        <v>2100</v>
      </c>
    </row>
    <row r="263" spans="1:7">
      <c r="A263" s="1" t="s">
        <v>196</v>
      </c>
      <c r="B263" s="1" t="s">
        <v>1026</v>
      </c>
      <c r="C263" s="1" t="s">
        <v>351</v>
      </c>
      <c r="D263" s="1" t="s">
        <v>64</v>
      </c>
      <c r="E263" s="1" t="s">
        <v>490</v>
      </c>
      <c r="F263" s="1" t="s">
        <v>351</v>
      </c>
      <c r="G263" s="1">
        <v>300</v>
      </c>
    </row>
    <row r="264" spans="1:7">
      <c r="A264" s="1" t="s">
        <v>1027</v>
      </c>
      <c r="B264" s="1" t="s">
        <v>1028</v>
      </c>
      <c r="C264" s="1" t="s">
        <v>339</v>
      </c>
      <c r="D264" s="1" t="s">
        <v>340</v>
      </c>
      <c r="E264" s="1" t="s">
        <v>613</v>
      </c>
      <c r="F264" s="1" t="s">
        <v>342</v>
      </c>
      <c r="G264" s="1">
        <v>112</v>
      </c>
    </row>
    <row r="265" spans="1:7">
      <c r="A265" s="1" t="s">
        <v>1029</v>
      </c>
      <c r="B265" s="1" t="s">
        <v>1030</v>
      </c>
      <c r="C265" s="1" t="s">
        <v>339</v>
      </c>
      <c r="D265" s="1" t="s">
        <v>340</v>
      </c>
      <c r="E265" s="1" t="s">
        <v>870</v>
      </c>
      <c r="F265" s="1" t="s">
        <v>342</v>
      </c>
      <c r="G265" s="1">
        <v>110</v>
      </c>
    </row>
    <row r="266" spans="1:7">
      <c r="A266" s="1" t="s">
        <v>1031</v>
      </c>
      <c r="B266" s="1" t="s">
        <v>1032</v>
      </c>
      <c r="C266" s="1" t="s">
        <v>339</v>
      </c>
      <c r="D266" s="1" t="s">
        <v>340</v>
      </c>
      <c r="E266" s="1" t="s">
        <v>474</v>
      </c>
      <c r="F266" s="1" t="s">
        <v>342</v>
      </c>
      <c r="G266" s="1">
        <v>140</v>
      </c>
    </row>
    <row r="267" spans="1:7">
      <c r="A267" s="1" t="s">
        <v>1033</v>
      </c>
      <c r="B267" s="1" t="s">
        <v>1034</v>
      </c>
      <c r="C267" s="1" t="s">
        <v>339</v>
      </c>
      <c r="D267" s="1" t="s">
        <v>340</v>
      </c>
      <c r="E267" s="1" t="s">
        <v>384</v>
      </c>
      <c r="F267" s="1" t="s">
        <v>342</v>
      </c>
      <c r="G267" s="1">
        <v>185</v>
      </c>
    </row>
    <row r="268" spans="1:7">
      <c r="A268" s="1" t="s">
        <v>1035</v>
      </c>
      <c r="B268" s="1" t="s">
        <v>1036</v>
      </c>
      <c r="C268" s="1" t="s">
        <v>339</v>
      </c>
      <c r="D268" s="1" t="s">
        <v>340</v>
      </c>
      <c r="E268" s="1" t="s">
        <v>870</v>
      </c>
      <c r="F268" s="1" t="s">
        <v>342</v>
      </c>
      <c r="G268" s="1">
        <v>250</v>
      </c>
    </row>
    <row r="269" spans="1:7">
      <c r="A269" s="1" t="s">
        <v>1037</v>
      </c>
      <c r="B269" s="1" t="s">
        <v>1038</v>
      </c>
      <c r="C269" s="1" t="s">
        <v>339</v>
      </c>
      <c r="D269" s="1" t="s">
        <v>340</v>
      </c>
      <c r="E269" s="1" t="s">
        <v>454</v>
      </c>
      <c r="F269" s="1" t="s">
        <v>342</v>
      </c>
      <c r="G269" s="1">
        <v>450</v>
      </c>
    </row>
    <row r="270" spans="1:7">
      <c r="A270" s="1" t="s">
        <v>1039</v>
      </c>
      <c r="B270" s="1" t="s">
        <v>1040</v>
      </c>
      <c r="C270" s="1" t="s">
        <v>339</v>
      </c>
      <c r="D270" s="1" t="s">
        <v>340</v>
      </c>
      <c r="E270" s="1" t="s">
        <v>622</v>
      </c>
      <c r="F270" s="1" t="s">
        <v>342</v>
      </c>
      <c r="G270" s="1">
        <v>165</v>
      </c>
    </row>
    <row r="271" spans="1:7">
      <c r="A271" s="1" t="s">
        <v>1041</v>
      </c>
      <c r="B271" s="1" t="s">
        <v>1042</v>
      </c>
      <c r="C271" s="1" t="s">
        <v>339</v>
      </c>
      <c r="D271" s="1" t="s">
        <v>340</v>
      </c>
      <c r="E271" s="1" t="s">
        <v>955</v>
      </c>
      <c r="F271" s="1" t="s">
        <v>342</v>
      </c>
      <c r="G271" s="1">
        <v>1300</v>
      </c>
    </row>
    <row r="272" spans="1:7">
      <c r="A272" s="1" t="s">
        <v>1043</v>
      </c>
      <c r="B272" s="1" t="s">
        <v>1044</v>
      </c>
      <c r="C272" s="1" t="s">
        <v>486</v>
      </c>
      <c r="D272" s="1" t="s">
        <v>340</v>
      </c>
      <c r="E272" s="1" t="s">
        <v>487</v>
      </c>
      <c r="F272" s="1" t="s">
        <v>347</v>
      </c>
      <c r="G272" s="1">
        <v>100</v>
      </c>
    </row>
    <row r="273" spans="1:7">
      <c r="A273" s="1" t="s">
        <v>1045</v>
      </c>
      <c r="B273" s="1" t="s">
        <v>1046</v>
      </c>
      <c r="C273" s="1" t="s">
        <v>339</v>
      </c>
      <c r="D273" s="1" t="s">
        <v>340</v>
      </c>
      <c r="E273" s="1" t="s">
        <v>663</v>
      </c>
      <c r="F273" s="1" t="s">
        <v>357</v>
      </c>
      <c r="G273" s="1">
        <v>1200</v>
      </c>
    </row>
    <row r="274" spans="1:7">
      <c r="A274" s="1" t="s">
        <v>1047</v>
      </c>
      <c r="B274" s="1" t="s">
        <v>1048</v>
      </c>
      <c r="C274" s="1" t="s">
        <v>339</v>
      </c>
      <c r="D274" s="1" t="s">
        <v>340</v>
      </c>
      <c r="E274" s="1" t="s">
        <v>495</v>
      </c>
      <c r="F274" s="1" t="s">
        <v>342</v>
      </c>
      <c r="G274" s="1">
        <v>344</v>
      </c>
    </row>
    <row r="275" spans="1:7">
      <c r="A275" s="1" t="s">
        <v>225</v>
      </c>
      <c r="B275" s="1" t="s">
        <v>1049</v>
      </c>
      <c r="C275" s="1" t="s">
        <v>339</v>
      </c>
      <c r="D275" s="1" t="s">
        <v>340</v>
      </c>
      <c r="E275" s="1" t="s">
        <v>677</v>
      </c>
      <c r="F275" s="1" t="s">
        <v>342</v>
      </c>
      <c r="G275" s="1">
        <v>170</v>
      </c>
    </row>
    <row r="276" spans="1:7">
      <c r="A276" s="1" t="s">
        <v>1050</v>
      </c>
      <c r="B276" s="1" t="s">
        <v>1051</v>
      </c>
      <c r="C276" s="1" t="s">
        <v>339</v>
      </c>
      <c r="D276" s="1" t="s">
        <v>340</v>
      </c>
      <c r="E276" s="1" t="s">
        <v>1052</v>
      </c>
      <c r="F276" s="1" t="s">
        <v>342</v>
      </c>
      <c r="G276" s="1">
        <v>100</v>
      </c>
    </row>
    <row r="277" spans="1:7">
      <c r="A277" s="1" t="s">
        <v>1053</v>
      </c>
      <c r="B277" s="1" t="s">
        <v>1054</v>
      </c>
      <c r="C277" s="1" t="s">
        <v>339</v>
      </c>
      <c r="D277" s="1" t="s">
        <v>340</v>
      </c>
      <c r="E277" s="1" t="s">
        <v>580</v>
      </c>
      <c r="F277" s="1" t="s">
        <v>342</v>
      </c>
      <c r="G277" s="1">
        <v>7500</v>
      </c>
    </row>
    <row r="278" spans="1:7">
      <c r="A278" s="1" t="s">
        <v>1055</v>
      </c>
      <c r="B278" s="1" t="s">
        <v>1056</v>
      </c>
      <c r="C278" s="1" t="s">
        <v>339</v>
      </c>
      <c r="D278" s="1" t="s">
        <v>340</v>
      </c>
      <c r="E278" s="1" t="s">
        <v>613</v>
      </c>
      <c r="F278" s="1" t="s">
        <v>342</v>
      </c>
      <c r="G278" s="1">
        <v>250</v>
      </c>
    </row>
    <row r="279" spans="1:7">
      <c r="A279" s="1" t="s">
        <v>1057</v>
      </c>
      <c r="B279" s="1" t="s">
        <v>1058</v>
      </c>
      <c r="C279" s="1" t="s">
        <v>824</v>
      </c>
      <c r="D279" s="1" t="s">
        <v>340</v>
      </c>
      <c r="E279" s="1" t="s">
        <v>825</v>
      </c>
      <c r="F279" s="1" t="s">
        <v>419</v>
      </c>
      <c r="G279" s="1">
        <v>125</v>
      </c>
    </row>
    <row r="280" spans="1:7">
      <c r="A280" s="1" t="s">
        <v>1059</v>
      </c>
      <c r="B280" s="1" t="s">
        <v>1060</v>
      </c>
      <c r="C280" s="1" t="s">
        <v>833</v>
      </c>
      <c r="D280" s="1" t="s">
        <v>340</v>
      </c>
      <c r="E280" s="1" t="s">
        <v>834</v>
      </c>
      <c r="F280" s="1" t="s">
        <v>513</v>
      </c>
      <c r="G280" s="1">
        <v>175</v>
      </c>
    </row>
    <row r="281" spans="1:7">
      <c r="A281" s="1" t="s">
        <v>1061</v>
      </c>
      <c r="B281" s="1" t="s">
        <v>1062</v>
      </c>
      <c r="C281" s="1" t="s">
        <v>918</v>
      </c>
      <c r="D281" s="1" t="s">
        <v>64</v>
      </c>
      <c r="E281" s="1" t="s">
        <v>919</v>
      </c>
      <c r="F281" s="1" t="s">
        <v>533</v>
      </c>
      <c r="G281" s="1">
        <v>185</v>
      </c>
    </row>
    <row r="282" spans="1:7">
      <c r="A282" s="1" t="s">
        <v>1063</v>
      </c>
      <c r="B282" s="1" t="s">
        <v>1064</v>
      </c>
      <c r="C282" s="1" t="s">
        <v>584</v>
      </c>
      <c r="D282" s="1" t="s">
        <v>64</v>
      </c>
      <c r="E282" s="1" t="s">
        <v>1065</v>
      </c>
      <c r="F282" s="1" t="s">
        <v>584</v>
      </c>
      <c r="G282" s="1">
        <v>225</v>
      </c>
    </row>
    <row r="283" spans="1:7">
      <c r="A283" s="1" t="s">
        <v>1066</v>
      </c>
      <c r="B283" s="1" t="s">
        <v>1067</v>
      </c>
      <c r="C283" s="1" t="s">
        <v>584</v>
      </c>
      <c r="D283" s="1" t="s">
        <v>64</v>
      </c>
      <c r="E283" s="1" t="s">
        <v>1065</v>
      </c>
      <c r="F283" s="1" t="s">
        <v>584</v>
      </c>
      <c r="G283" s="1">
        <v>869</v>
      </c>
    </row>
    <row r="284" spans="1:7">
      <c r="A284" s="1" t="s">
        <v>1068</v>
      </c>
      <c r="B284" s="1" t="s">
        <v>1069</v>
      </c>
      <c r="C284" s="1" t="s">
        <v>584</v>
      </c>
      <c r="D284" s="1" t="s">
        <v>64</v>
      </c>
      <c r="E284" s="1" t="s">
        <v>1065</v>
      </c>
      <c r="F284" s="1" t="s">
        <v>584</v>
      </c>
      <c r="G284" s="1">
        <v>348</v>
      </c>
    </row>
    <row r="285" spans="1:7">
      <c r="A285" s="1" t="s">
        <v>1070</v>
      </c>
      <c r="B285" s="1" t="s">
        <v>1071</v>
      </c>
      <c r="C285" s="1" t="s">
        <v>533</v>
      </c>
      <c r="D285" s="1" t="s">
        <v>64</v>
      </c>
      <c r="E285" s="1" t="s">
        <v>1072</v>
      </c>
      <c r="F285" s="1" t="s">
        <v>533</v>
      </c>
      <c r="G285" s="1">
        <v>265</v>
      </c>
    </row>
    <row r="286" spans="1:7">
      <c r="A286" s="1" t="s">
        <v>1073</v>
      </c>
      <c r="B286" s="1" t="s">
        <v>1074</v>
      </c>
      <c r="C286" s="1" t="s">
        <v>533</v>
      </c>
      <c r="D286" s="1" t="s">
        <v>64</v>
      </c>
      <c r="E286" s="1" t="s">
        <v>1072</v>
      </c>
      <c r="F286" s="1" t="s">
        <v>533</v>
      </c>
      <c r="G286" s="1">
        <v>1200</v>
      </c>
    </row>
    <row r="287" spans="1:7">
      <c r="A287" s="1" t="s">
        <v>1075</v>
      </c>
      <c r="B287" s="1" t="s">
        <v>1076</v>
      </c>
      <c r="C287" s="1" t="s">
        <v>918</v>
      </c>
      <c r="D287" s="1" t="s">
        <v>64</v>
      </c>
      <c r="E287" s="1" t="s">
        <v>919</v>
      </c>
      <c r="F287" s="1" t="s">
        <v>533</v>
      </c>
      <c r="G287" s="1">
        <v>255</v>
      </c>
    </row>
    <row r="288" spans="1:7">
      <c r="A288" s="1" t="s">
        <v>1077</v>
      </c>
      <c r="B288" s="1" t="s">
        <v>1078</v>
      </c>
      <c r="C288" s="1" t="s">
        <v>1079</v>
      </c>
      <c r="D288" s="1" t="s">
        <v>1080</v>
      </c>
      <c r="E288" s="1" t="s">
        <v>1081</v>
      </c>
      <c r="F288" s="1" t="s">
        <v>357</v>
      </c>
      <c r="G288" s="1">
        <v>1500</v>
      </c>
    </row>
    <row r="289" spans="1:7">
      <c r="A289" s="1" t="s">
        <v>1082</v>
      </c>
      <c r="B289" s="1" t="s">
        <v>1083</v>
      </c>
      <c r="C289" s="1" t="s">
        <v>339</v>
      </c>
      <c r="D289" s="1" t="s">
        <v>340</v>
      </c>
      <c r="E289" s="1" t="s">
        <v>577</v>
      </c>
      <c r="F289" s="1" t="s">
        <v>342</v>
      </c>
      <c r="G289" s="1">
        <v>112</v>
      </c>
    </row>
    <row r="290" spans="1:7">
      <c r="A290" s="1" t="s">
        <v>1084</v>
      </c>
      <c r="B290" s="1" t="s">
        <v>1085</v>
      </c>
      <c r="C290" s="1" t="s">
        <v>36</v>
      </c>
      <c r="D290" s="1" t="s">
        <v>1080</v>
      </c>
      <c r="E290" s="1" t="s">
        <v>1086</v>
      </c>
      <c r="F290" s="1" t="s">
        <v>357</v>
      </c>
      <c r="G290" s="1">
        <v>600</v>
      </c>
    </row>
    <row r="291" spans="1:7">
      <c r="A291" s="1" t="s">
        <v>1087</v>
      </c>
      <c r="B291" s="1" t="s">
        <v>1088</v>
      </c>
      <c r="C291" s="1" t="s">
        <v>339</v>
      </c>
      <c r="D291" s="1" t="s">
        <v>340</v>
      </c>
      <c r="E291" s="1" t="s">
        <v>677</v>
      </c>
      <c r="F291" s="1" t="s">
        <v>342</v>
      </c>
      <c r="G291" s="1">
        <v>188</v>
      </c>
    </row>
    <row r="292" spans="1:7">
      <c r="A292" s="1" t="s">
        <v>1089</v>
      </c>
      <c r="B292" s="1" t="s">
        <v>1090</v>
      </c>
      <c r="C292" s="1" t="s">
        <v>511</v>
      </c>
      <c r="D292" s="1" t="s">
        <v>340</v>
      </c>
      <c r="E292" s="1" t="s">
        <v>536</v>
      </c>
      <c r="F292" s="1" t="s">
        <v>513</v>
      </c>
      <c r="G292" s="1">
        <v>269</v>
      </c>
    </row>
    <row r="293" spans="1:7">
      <c r="A293" s="1" t="s">
        <v>1091</v>
      </c>
      <c r="B293" s="1" t="s">
        <v>1092</v>
      </c>
      <c r="C293" s="1" t="s">
        <v>339</v>
      </c>
      <c r="D293" s="1" t="s">
        <v>340</v>
      </c>
      <c r="E293" s="1" t="s">
        <v>1093</v>
      </c>
      <c r="F293" s="1" t="s">
        <v>342</v>
      </c>
      <c r="G293" s="1">
        <v>105</v>
      </c>
    </row>
    <row r="294" spans="1:7">
      <c r="A294" s="1" t="s">
        <v>1094</v>
      </c>
      <c r="B294" s="1" t="s">
        <v>1095</v>
      </c>
      <c r="C294" s="1" t="s">
        <v>339</v>
      </c>
      <c r="D294" s="1" t="s">
        <v>340</v>
      </c>
      <c r="E294" s="1" t="s">
        <v>454</v>
      </c>
      <c r="F294" s="1" t="s">
        <v>342</v>
      </c>
      <c r="G294" s="1">
        <v>135</v>
      </c>
    </row>
    <row r="295" spans="1:7">
      <c r="A295" s="1" t="s">
        <v>1096</v>
      </c>
      <c r="B295" s="1" t="s">
        <v>1097</v>
      </c>
      <c r="C295" s="1" t="s">
        <v>818</v>
      </c>
      <c r="D295" s="1" t="s">
        <v>340</v>
      </c>
      <c r="E295" s="1" t="s">
        <v>819</v>
      </c>
      <c r="F295" s="1" t="s">
        <v>347</v>
      </c>
      <c r="G295" s="1">
        <v>100</v>
      </c>
    </row>
    <row r="296" spans="1:7">
      <c r="A296" s="1" t="s">
        <v>1098</v>
      </c>
      <c r="B296" s="1" t="s">
        <v>1099</v>
      </c>
      <c r="C296" s="1" t="s">
        <v>339</v>
      </c>
      <c r="D296" s="1" t="s">
        <v>340</v>
      </c>
      <c r="E296" s="1" t="s">
        <v>622</v>
      </c>
      <c r="F296" s="1" t="s">
        <v>342</v>
      </c>
      <c r="G296" s="1">
        <v>200</v>
      </c>
    </row>
    <row r="297" spans="1:7">
      <c r="A297" s="1" t="s">
        <v>1100</v>
      </c>
      <c r="B297" s="1" t="s">
        <v>1101</v>
      </c>
      <c r="C297" s="1" t="s">
        <v>339</v>
      </c>
      <c r="D297" s="1" t="s">
        <v>340</v>
      </c>
      <c r="E297" s="1" t="s">
        <v>1052</v>
      </c>
      <c r="F297" s="1" t="s">
        <v>342</v>
      </c>
      <c r="G297" s="1">
        <v>150</v>
      </c>
    </row>
    <row r="298" spans="1:7">
      <c r="A298" s="1" t="s">
        <v>1102</v>
      </c>
      <c r="B298" s="1" t="s">
        <v>1103</v>
      </c>
      <c r="C298" s="1" t="s">
        <v>339</v>
      </c>
      <c r="D298" s="1" t="s">
        <v>340</v>
      </c>
      <c r="E298" s="1" t="s">
        <v>384</v>
      </c>
      <c r="F298" s="1" t="s">
        <v>342</v>
      </c>
      <c r="G298" s="1">
        <v>180</v>
      </c>
    </row>
    <row r="299" spans="1:7">
      <c r="A299" s="1" t="s">
        <v>1104</v>
      </c>
      <c r="B299" s="1" t="s">
        <v>1105</v>
      </c>
      <c r="C299" s="1" t="s">
        <v>339</v>
      </c>
      <c r="D299" s="1" t="s">
        <v>340</v>
      </c>
      <c r="E299" s="1" t="s">
        <v>480</v>
      </c>
      <c r="F299" s="1" t="s">
        <v>357</v>
      </c>
      <c r="G299" s="1">
        <v>800</v>
      </c>
    </row>
    <row r="300" spans="1:7">
      <c r="A300" s="1" t="s">
        <v>1106</v>
      </c>
      <c r="B300" s="1" t="s">
        <v>1107</v>
      </c>
      <c r="C300" s="1" t="s">
        <v>1108</v>
      </c>
      <c r="D300" s="1" t="s">
        <v>1109</v>
      </c>
      <c r="E300" s="1" t="s">
        <v>1110</v>
      </c>
      <c r="F300" s="1" t="s">
        <v>357</v>
      </c>
      <c r="G300" s="1">
        <v>250</v>
      </c>
    </row>
    <row r="301" spans="1:7">
      <c r="A301" s="1" t="s">
        <v>1111</v>
      </c>
      <c r="B301" s="1" t="s">
        <v>1112</v>
      </c>
      <c r="C301" s="1" t="s">
        <v>339</v>
      </c>
      <c r="D301" s="1" t="s">
        <v>340</v>
      </c>
      <c r="E301" s="1" t="s">
        <v>384</v>
      </c>
      <c r="F301" s="1" t="s">
        <v>342</v>
      </c>
      <c r="G301" s="1">
        <v>135</v>
      </c>
    </row>
    <row r="302" spans="1:7">
      <c r="A302" s="1" t="s">
        <v>1113</v>
      </c>
      <c r="B302" s="1" t="s">
        <v>1114</v>
      </c>
      <c r="C302" s="1" t="s">
        <v>467</v>
      </c>
      <c r="D302" s="1" t="s">
        <v>64</v>
      </c>
      <c r="E302" s="1" t="s">
        <v>468</v>
      </c>
      <c r="F302" s="1" t="s">
        <v>351</v>
      </c>
      <c r="G302" s="1">
        <v>1100</v>
      </c>
    </row>
    <row r="303" spans="1:7">
      <c r="A303" s="1" t="s">
        <v>1115</v>
      </c>
      <c r="B303" s="1" t="s">
        <v>1116</v>
      </c>
      <c r="C303" s="1" t="s">
        <v>345</v>
      </c>
      <c r="D303" s="1" t="s">
        <v>340</v>
      </c>
      <c r="E303" s="1" t="s">
        <v>567</v>
      </c>
      <c r="F303" s="1" t="s">
        <v>347</v>
      </c>
      <c r="G303" s="1">
        <v>100</v>
      </c>
    </row>
    <row r="304" spans="1:7">
      <c r="A304" s="1" t="s">
        <v>1117</v>
      </c>
      <c r="B304" s="1" t="s">
        <v>1118</v>
      </c>
      <c r="C304" s="1" t="s">
        <v>425</v>
      </c>
      <c r="D304" s="1" t="s">
        <v>340</v>
      </c>
      <c r="E304" s="1" t="s">
        <v>426</v>
      </c>
      <c r="F304" s="1" t="s">
        <v>427</v>
      </c>
      <c r="G304" s="1">
        <v>265</v>
      </c>
    </row>
    <row r="305" spans="1:7">
      <c r="A305" s="1" t="s">
        <v>1119</v>
      </c>
      <c r="B305" s="1" t="s">
        <v>1120</v>
      </c>
      <c r="C305" s="1" t="s">
        <v>339</v>
      </c>
      <c r="D305" s="1" t="s">
        <v>340</v>
      </c>
      <c r="E305" s="1" t="s">
        <v>677</v>
      </c>
      <c r="F305" s="1" t="s">
        <v>342</v>
      </c>
      <c r="G305" s="1">
        <v>5896</v>
      </c>
    </row>
    <row r="306" spans="1:7">
      <c r="A306" s="1" t="s">
        <v>1121</v>
      </c>
      <c r="B306" s="1" t="s">
        <v>1122</v>
      </c>
      <c r="C306" s="1" t="s">
        <v>584</v>
      </c>
      <c r="D306" s="1" t="s">
        <v>64</v>
      </c>
      <c r="E306" s="1" t="s">
        <v>1065</v>
      </c>
      <c r="F306" s="1" t="s">
        <v>584</v>
      </c>
      <c r="G306" s="1">
        <v>100</v>
      </c>
    </row>
    <row r="307" spans="1:7">
      <c r="A307" s="1" t="s">
        <v>1123</v>
      </c>
      <c r="B307" s="1" t="s">
        <v>1124</v>
      </c>
      <c r="C307" s="1" t="s">
        <v>511</v>
      </c>
      <c r="D307" s="1" t="s">
        <v>340</v>
      </c>
      <c r="E307" s="1" t="s">
        <v>852</v>
      </c>
      <c r="F307" s="1" t="s">
        <v>513</v>
      </c>
      <c r="G307" s="1">
        <v>850</v>
      </c>
    </row>
    <row r="308" spans="1:7">
      <c r="A308" s="1" t="s">
        <v>1125</v>
      </c>
      <c r="B308" s="1" t="s">
        <v>1126</v>
      </c>
      <c r="C308" s="1" t="s">
        <v>345</v>
      </c>
      <c r="D308" s="1" t="s">
        <v>340</v>
      </c>
      <c r="E308" s="1" t="s">
        <v>346</v>
      </c>
      <c r="F308" s="1" t="s">
        <v>347</v>
      </c>
      <c r="G308" s="1">
        <v>850</v>
      </c>
    </row>
    <row r="309" spans="1:7">
      <c r="A309" s="1" t="s">
        <v>1127</v>
      </c>
      <c r="B309" s="1" t="s">
        <v>1128</v>
      </c>
      <c r="C309" s="1" t="s">
        <v>440</v>
      </c>
      <c r="D309" s="1" t="s">
        <v>340</v>
      </c>
      <c r="E309" s="1" t="s">
        <v>441</v>
      </c>
      <c r="F309" s="1" t="s">
        <v>558</v>
      </c>
      <c r="G309" s="1">
        <v>651</v>
      </c>
    </row>
    <row r="310" spans="1:7">
      <c r="A310" s="1" t="s">
        <v>1129</v>
      </c>
      <c r="B310" s="1" t="s">
        <v>1130</v>
      </c>
      <c r="C310" s="1" t="s">
        <v>858</v>
      </c>
      <c r="D310" s="1" t="s">
        <v>340</v>
      </c>
      <c r="E310" s="1" t="s">
        <v>1131</v>
      </c>
      <c r="F310" s="1" t="s">
        <v>513</v>
      </c>
      <c r="G310" s="1">
        <v>305</v>
      </c>
    </row>
    <row r="311" spans="1:7">
      <c r="A311" s="1" t="s">
        <v>1132</v>
      </c>
      <c r="B311" s="1" t="s">
        <v>1133</v>
      </c>
      <c r="C311" s="1" t="s">
        <v>824</v>
      </c>
      <c r="D311" s="1" t="s">
        <v>340</v>
      </c>
      <c r="E311" s="1" t="s">
        <v>825</v>
      </c>
      <c r="F311" s="1" t="s">
        <v>419</v>
      </c>
      <c r="G311" s="1">
        <v>188</v>
      </c>
    </row>
    <row r="312" spans="1:7">
      <c r="A312" s="1" t="s">
        <v>1134</v>
      </c>
      <c r="B312" s="1" t="s">
        <v>1135</v>
      </c>
      <c r="C312" s="1" t="s">
        <v>775</v>
      </c>
      <c r="D312" s="1" t="s">
        <v>64</v>
      </c>
      <c r="E312" s="1">
        <v>29721</v>
      </c>
      <c r="F312" s="1" t="s">
        <v>775</v>
      </c>
      <c r="G312" s="1">
        <v>155</v>
      </c>
    </row>
    <row r="313" spans="1:7">
      <c r="A313" s="1" t="s">
        <v>1136</v>
      </c>
      <c r="B313" s="1" t="s">
        <v>1137</v>
      </c>
      <c r="C313" s="1" t="s">
        <v>379</v>
      </c>
      <c r="D313" s="1" t="s">
        <v>340</v>
      </c>
      <c r="E313" s="1" t="s">
        <v>1138</v>
      </c>
      <c r="F313" s="1" t="s">
        <v>381</v>
      </c>
      <c r="G313" s="1">
        <v>143</v>
      </c>
    </row>
    <row r="314" spans="1:7">
      <c r="A314" s="1" t="s">
        <v>226</v>
      </c>
      <c r="B314" s="1" t="s">
        <v>1139</v>
      </c>
      <c r="C314" s="1" t="s">
        <v>412</v>
      </c>
      <c r="D314" s="1" t="s">
        <v>340</v>
      </c>
      <c r="E314" s="1" t="s">
        <v>586</v>
      </c>
      <c r="F314" s="1" t="s">
        <v>414</v>
      </c>
      <c r="G314" s="1">
        <v>650</v>
      </c>
    </row>
    <row r="315" spans="1:7">
      <c r="A315" s="1" t="s">
        <v>1140</v>
      </c>
      <c r="B315" s="1" t="s">
        <v>1141</v>
      </c>
      <c r="C315" s="1" t="s">
        <v>486</v>
      </c>
      <c r="D315" s="1" t="s">
        <v>340</v>
      </c>
      <c r="E315" s="1" t="s">
        <v>487</v>
      </c>
      <c r="F315" s="1" t="s">
        <v>347</v>
      </c>
      <c r="G315" s="1">
        <v>153</v>
      </c>
    </row>
    <row r="316" spans="1:7">
      <c r="A316" s="1" t="s">
        <v>227</v>
      </c>
      <c r="B316" s="1" t="s">
        <v>1142</v>
      </c>
      <c r="C316" s="1" t="s">
        <v>666</v>
      </c>
      <c r="D316" s="1" t="s">
        <v>340</v>
      </c>
      <c r="E316" s="1" t="s">
        <v>667</v>
      </c>
      <c r="F316" s="1" t="s">
        <v>558</v>
      </c>
      <c r="G316" s="1">
        <v>245</v>
      </c>
    </row>
    <row r="317" spans="1:7">
      <c r="A317" s="1" t="s">
        <v>1143</v>
      </c>
      <c r="B317" s="1" t="s">
        <v>1144</v>
      </c>
      <c r="C317" s="1" t="s">
        <v>349</v>
      </c>
      <c r="D317" s="1" t="s">
        <v>64</v>
      </c>
      <c r="E317" s="1" t="s">
        <v>1145</v>
      </c>
      <c r="F317" s="1" t="s">
        <v>351</v>
      </c>
      <c r="G317" s="1">
        <v>800</v>
      </c>
    </row>
    <row r="318" spans="1:7">
      <c r="A318" s="1" t="s">
        <v>1146</v>
      </c>
      <c r="B318" s="1" t="s">
        <v>1147</v>
      </c>
      <c r="C318" s="1" t="s">
        <v>436</v>
      </c>
      <c r="D318" s="1" t="s">
        <v>340</v>
      </c>
      <c r="E318" s="1" t="s">
        <v>771</v>
      </c>
      <c r="F318" s="1" t="s">
        <v>565</v>
      </c>
      <c r="G318" s="1">
        <v>461</v>
      </c>
    </row>
    <row r="319" spans="1:7">
      <c r="A319" s="1" t="s">
        <v>1148</v>
      </c>
      <c r="B319" s="1" t="s">
        <v>1149</v>
      </c>
      <c r="C319" s="1" t="s">
        <v>625</v>
      </c>
      <c r="D319" s="1" t="s">
        <v>340</v>
      </c>
      <c r="E319" s="1" t="s">
        <v>709</v>
      </c>
      <c r="F319" s="1" t="s">
        <v>419</v>
      </c>
      <c r="G319" s="1">
        <v>360</v>
      </c>
    </row>
    <row r="320" spans="1:7">
      <c r="A320" s="1" t="s">
        <v>228</v>
      </c>
      <c r="B320" s="1" t="s">
        <v>1150</v>
      </c>
      <c r="C320" s="1" t="s">
        <v>362</v>
      </c>
      <c r="D320" s="1" t="s">
        <v>340</v>
      </c>
      <c r="E320" s="1" t="s">
        <v>430</v>
      </c>
      <c r="F320" s="1" t="s">
        <v>364</v>
      </c>
      <c r="G320" s="1">
        <v>375</v>
      </c>
    </row>
    <row r="321" spans="1:7">
      <c r="A321" s="1" t="s">
        <v>1151</v>
      </c>
      <c r="B321" s="1" t="s">
        <v>1152</v>
      </c>
      <c r="C321" s="1" t="s">
        <v>351</v>
      </c>
      <c r="D321" s="1" t="s">
        <v>64</v>
      </c>
      <c r="E321" s="1" t="s">
        <v>490</v>
      </c>
      <c r="F321" s="1" t="s">
        <v>351</v>
      </c>
      <c r="G321" s="1">
        <v>100</v>
      </c>
    </row>
    <row r="322" spans="1:7">
      <c r="A322" s="1" t="s">
        <v>1153</v>
      </c>
      <c r="B322" s="1" t="s">
        <v>1154</v>
      </c>
      <c r="C322" s="1" t="s">
        <v>339</v>
      </c>
      <c r="D322" s="1" t="s">
        <v>340</v>
      </c>
      <c r="E322" s="1" t="s">
        <v>1155</v>
      </c>
      <c r="F322" s="1" t="s">
        <v>357</v>
      </c>
      <c r="G322" s="1">
        <v>500</v>
      </c>
    </row>
    <row r="323" spans="1:7">
      <c r="A323" s="1" t="s">
        <v>1156</v>
      </c>
      <c r="B323" s="1" t="s">
        <v>1157</v>
      </c>
      <c r="C323" s="1" t="s">
        <v>339</v>
      </c>
      <c r="D323" s="1" t="s">
        <v>340</v>
      </c>
      <c r="E323" s="1" t="s">
        <v>471</v>
      </c>
      <c r="F323" s="1" t="s">
        <v>342</v>
      </c>
      <c r="G323" s="1">
        <v>100</v>
      </c>
    </row>
    <row r="324" spans="1:7">
      <c r="A324" s="1" t="s">
        <v>197</v>
      </c>
      <c r="B324" s="1" t="s">
        <v>1158</v>
      </c>
      <c r="C324" s="1" t="s">
        <v>339</v>
      </c>
      <c r="D324" s="1" t="s">
        <v>340</v>
      </c>
      <c r="E324" s="1" t="s">
        <v>341</v>
      </c>
      <c r="F324" s="1" t="s">
        <v>342</v>
      </c>
      <c r="G324" s="1">
        <v>140</v>
      </c>
    </row>
    <row r="325" spans="1:7">
      <c r="A325" s="1" t="s">
        <v>1159</v>
      </c>
      <c r="B325" s="1" t="s">
        <v>1160</v>
      </c>
      <c r="C325" s="1" t="s">
        <v>440</v>
      </c>
      <c r="D325" s="1" t="s">
        <v>340</v>
      </c>
      <c r="E325" s="1" t="s">
        <v>441</v>
      </c>
      <c r="F325" s="1" t="s">
        <v>558</v>
      </c>
      <c r="G325" s="1">
        <v>400</v>
      </c>
    </row>
    <row r="326" spans="1:7">
      <c r="A326" s="1" t="s">
        <v>1161</v>
      </c>
      <c r="B326" s="1" t="s">
        <v>1162</v>
      </c>
      <c r="C326" s="1" t="s">
        <v>556</v>
      </c>
      <c r="D326" s="1" t="s">
        <v>340</v>
      </c>
      <c r="E326" s="1" t="s">
        <v>557</v>
      </c>
      <c r="F326" s="1" t="s">
        <v>558</v>
      </c>
      <c r="G326" s="1">
        <v>180</v>
      </c>
    </row>
    <row r="327" spans="1:7">
      <c r="A327" s="1" t="s">
        <v>1163</v>
      </c>
      <c r="B327" s="1" t="s">
        <v>1164</v>
      </c>
      <c r="C327" s="1" t="s">
        <v>440</v>
      </c>
      <c r="D327" s="1" t="s">
        <v>340</v>
      </c>
      <c r="E327" s="1" t="s">
        <v>885</v>
      </c>
      <c r="F327" s="1" t="s">
        <v>558</v>
      </c>
      <c r="G327" s="1">
        <v>250</v>
      </c>
    </row>
    <row r="328" spans="1:7">
      <c r="A328" s="1" t="s">
        <v>1165</v>
      </c>
      <c r="B328" s="1" t="s">
        <v>1166</v>
      </c>
      <c r="C328" s="1" t="s">
        <v>440</v>
      </c>
      <c r="D328" s="1" t="s">
        <v>340</v>
      </c>
      <c r="E328" s="1" t="s">
        <v>441</v>
      </c>
      <c r="F328" s="1" t="s">
        <v>558</v>
      </c>
      <c r="G328" s="1">
        <v>321</v>
      </c>
    </row>
    <row r="329" spans="1:7">
      <c r="A329" s="1" t="s">
        <v>1167</v>
      </c>
      <c r="B329" s="1" t="s">
        <v>1168</v>
      </c>
      <c r="C329" s="1" t="s">
        <v>440</v>
      </c>
      <c r="D329" s="1" t="s">
        <v>340</v>
      </c>
      <c r="E329" s="1" t="s">
        <v>1169</v>
      </c>
      <c r="F329" s="1" t="s">
        <v>558</v>
      </c>
      <c r="G329" s="1">
        <v>100</v>
      </c>
    </row>
    <row r="330" spans="1:7">
      <c r="A330" s="1" t="s">
        <v>1170</v>
      </c>
      <c r="B330" s="1" t="s">
        <v>817</v>
      </c>
      <c r="C330" s="1" t="s">
        <v>1171</v>
      </c>
      <c r="D330" s="1" t="s">
        <v>340</v>
      </c>
      <c r="E330" s="1" t="s">
        <v>1172</v>
      </c>
      <c r="F330" s="1" t="s">
        <v>427</v>
      </c>
      <c r="G330" s="1">
        <v>200</v>
      </c>
    </row>
    <row r="331" spans="1:7">
      <c r="A331" s="1" t="s">
        <v>1173</v>
      </c>
      <c r="B331" s="1" t="s">
        <v>1174</v>
      </c>
      <c r="C331" s="1" t="s">
        <v>339</v>
      </c>
      <c r="D331" s="1" t="s">
        <v>340</v>
      </c>
      <c r="E331" s="1" t="s">
        <v>384</v>
      </c>
      <c r="F331" s="1" t="s">
        <v>342</v>
      </c>
      <c r="G331" s="1">
        <v>185</v>
      </c>
    </row>
    <row r="332" spans="1:7">
      <c r="A332" s="1" t="s">
        <v>1175</v>
      </c>
      <c r="B332" s="1" t="s">
        <v>1176</v>
      </c>
      <c r="C332" s="1" t="s">
        <v>625</v>
      </c>
      <c r="D332" s="1" t="s">
        <v>340</v>
      </c>
      <c r="E332" s="1" t="s">
        <v>1177</v>
      </c>
      <c r="F332" s="1" t="s">
        <v>419</v>
      </c>
      <c r="G332" s="1">
        <v>364</v>
      </c>
    </row>
    <row r="333" spans="1:7">
      <c r="A333" s="1" t="s">
        <v>1178</v>
      </c>
      <c r="B333" s="1" t="s">
        <v>1179</v>
      </c>
      <c r="C333" s="1" t="s">
        <v>625</v>
      </c>
      <c r="D333" s="1" t="s">
        <v>340</v>
      </c>
      <c r="E333" s="1" t="s">
        <v>626</v>
      </c>
      <c r="F333" s="1" t="s">
        <v>419</v>
      </c>
      <c r="G333" s="1">
        <v>738</v>
      </c>
    </row>
    <row r="334" spans="1:7">
      <c r="A334" s="1" t="s">
        <v>1180</v>
      </c>
      <c r="B334" s="1" t="s">
        <v>1181</v>
      </c>
      <c r="C334" s="1" t="s">
        <v>625</v>
      </c>
      <c r="D334" s="1" t="s">
        <v>340</v>
      </c>
      <c r="E334" s="1" t="s">
        <v>1177</v>
      </c>
      <c r="F334" s="1" t="s">
        <v>419</v>
      </c>
      <c r="G334" s="1">
        <v>1500</v>
      </c>
    </row>
    <row r="335" spans="1:7">
      <c r="A335" s="1" t="s">
        <v>1182</v>
      </c>
      <c r="B335" s="1" t="s">
        <v>1183</v>
      </c>
      <c r="C335" s="1" t="s">
        <v>625</v>
      </c>
      <c r="D335" s="1" t="s">
        <v>340</v>
      </c>
      <c r="E335" s="1" t="s">
        <v>709</v>
      </c>
      <c r="F335" s="1" t="s">
        <v>419</v>
      </c>
      <c r="G335" s="1">
        <v>100</v>
      </c>
    </row>
    <row r="336" spans="1:7">
      <c r="A336" s="1" t="s">
        <v>1184</v>
      </c>
      <c r="B336" s="1" t="s">
        <v>1185</v>
      </c>
      <c r="C336" s="1" t="s">
        <v>625</v>
      </c>
      <c r="D336" s="1" t="s">
        <v>340</v>
      </c>
      <c r="E336" s="1" t="s">
        <v>626</v>
      </c>
      <c r="F336" s="1" t="s">
        <v>419</v>
      </c>
      <c r="G336" s="1">
        <v>902</v>
      </c>
    </row>
    <row r="337" spans="1:7">
      <c r="A337" s="1" t="s">
        <v>1186</v>
      </c>
      <c r="B337" s="1" t="s">
        <v>1187</v>
      </c>
      <c r="C337" s="1" t="s">
        <v>625</v>
      </c>
      <c r="D337" s="1" t="s">
        <v>340</v>
      </c>
      <c r="E337" s="1" t="s">
        <v>626</v>
      </c>
      <c r="F337" s="1" t="s">
        <v>419</v>
      </c>
      <c r="G337" s="1">
        <v>200</v>
      </c>
    </row>
    <row r="338" spans="1:7">
      <c r="A338" s="1" t="s">
        <v>1188</v>
      </c>
      <c r="B338" s="1" t="s">
        <v>1189</v>
      </c>
      <c r="C338" s="1" t="s">
        <v>436</v>
      </c>
      <c r="D338" s="1" t="s">
        <v>340</v>
      </c>
      <c r="E338" s="1" t="s">
        <v>1190</v>
      </c>
      <c r="F338" s="1" t="s">
        <v>565</v>
      </c>
      <c r="G338" s="1">
        <v>100</v>
      </c>
    </row>
    <row r="339" spans="1:7">
      <c r="A339" s="1" t="s">
        <v>1191</v>
      </c>
      <c r="B339" s="1" t="s">
        <v>1192</v>
      </c>
      <c r="C339" s="1" t="s">
        <v>1193</v>
      </c>
      <c r="D339" s="1" t="s">
        <v>64</v>
      </c>
      <c r="E339" s="1" t="s">
        <v>1194</v>
      </c>
      <c r="F339" s="1" t="s">
        <v>351</v>
      </c>
      <c r="G339" s="1">
        <v>752</v>
      </c>
    </row>
    <row r="340" spans="1:7">
      <c r="A340" s="1" t="s">
        <v>1195</v>
      </c>
      <c r="B340" s="1" t="s">
        <v>1196</v>
      </c>
      <c r="C340" s="1" t="s">
        <v>1193</v>
      </c>
      <c r="D340" s="1" t="s">
        <v>64</v>
      </c>
      <c r="E340" s="1" t="s">
        <v>1194</v>
      </c>
      <c r="F340" s="1" t="s">
        <v>351</v>
      </c>
      <c r="G340" s="1">
        <v>140</v>
      </c>
    </row>
    <row r="341" spans="1:7">
      <c r="A341" s="1" t="s">
        <v>1197</v>
      </c>
      <c r="B341" s="1" t="s">
        <v>787</v>
      </c>
      <c r="C341" s="1" t="s">
        <v>1198</v>
      </c>
      <c r="D341" s="1" t="s">
        <v>64</v>
      </c>
      <c r="E341" s="1" t="s">
        <v>1199</v>
      </c>
      <c r="F341" s="1" t="s">
        <v>533</v>
      </c>
      <c r="G341" s="1">
        <v>250</v>
      </c>
    </row>
    <row r="342" spans="1:7">
      <c r="A342" s="1" t="s">
        <v>229</v>
      </c>
      <c r="B342" s="1" t="s">
        <v>1200</v>
      </c>
      <c r="C342" s="1" t="s">
        <v>524</v>
      </c>
      <c r="D342" s="1" t="s">
        <v>340</v>
      </c>
      <c r="E342" s="1" t="s">
        <v>525</v>
      </c>
      <c r="F342" s="1" t="s">
        <v>526</v>
      </c>
      <c r="G342" s="1">
        <v>175</v>
      </c>
    </row>
    <row r="343" spans="1:7">
      <c r="A343" s="1" t="s">
        <v>1201</v>
      </c>
      <c r="B343" s="1" t="s">
        <v>1202</v>
      </c>
      <c r="C343" s="1" t="s">
        <v>339</v>
      </c>
      <c r="D343" s="1" t="s">
        <v>340</v>
      </c>
      <c r="E343" s="1" t="s">
        <v>622</v>
      </c>
      <c r="F343" s="1" t="s">
        <v>342</v>
      </c>
      <c r="G343" s="1">
        <v>170</v>
      </c>
    </row>
    <row r="344" spans="1:7">
      <c r="A344" s="1" t="s">
        <v>1203</v>
      </c>
      <c r="B344" s="1" t="s">
        <v>1204</v>
      </c>
      <c r="C344" s="1" t="s">
        <v>339</v>
      </c>
      <c r="D344" s="1" t="s">
        <v>340</v>
      </c>
      <c r="E344" s="1" t="s">
        <v>613</v>
      </c>
      <c r="F344" s="1" t="s">
        <v>342</v>
      </c>
      <c r="G344" s="1">
        <v>1300</v>
      </c>
    </row>
    <row r="345" spans="1:7">
      <c r="A345" s="1" t="s">
        <v>1205</v>
      </c>
      <c r="B345" s="1" t="s">
        <v>1206</v>
      </c>
      <c r="C345" s="1" t="s">
        <v>379</v>
      </c>
      <c r="D345" s="1" t="s">
        <v>340</v>
      </c>
      <c r="E345" s="1" t="s">
        <v>1138</v>
      </c>
      <c r="F345" s="1" t="s">
        <v>381</v>
      </c>
      <c r="G345" s="1">
        <v>400</v>
      </c>
    </row>
    <row r="346" spans="1:7">
      <c r="A346" s="1" t="s">
        <v>1207</v>
      </c>
      <c r="B346" s="1" t="s">
        <v>1208</v>
      </c>
      <c r="C346" s="1" t="s">
        <v>524</v>
      </c>
      <c r="D346" s="1" t="s">
        <v>340</v>
      </c>
      <c r="E346" s="1" t="s">
        <v>525</v>
      </c>
      <c r="F346" s="1" t="s">
        <v>526</v>
      </c>
      <c r="G346" s="1">
        <v>167</v>
      </c>
    </row>
    <row r="347" spans="1:7">
      <c r="A347" s="1" t="s">
        <v>230</v>
      </c>
      <c r="B347" s="1" t="s">
        <v>1209</v>
      </c>
      <c r="C347" s="1" t="s">
        <v>339</v>
      </c>
      <c r="D347" s="1" t="s">
        <v>340</v>
      </c>
      <c r="E347" s="1" t="s">
        <v>480</v>
      </c>
      <c r="F347" s="1" t="s">
        <v>342</v>
      </c>
      <c r="G347" s="1">
        <v>115</v>
      </c>
    </row>
    <row r="348" spans="1:7">
      <c r="A348" s="1" t="s">
        <v>1210</v>
      </c>
      <c r="B348" s="1" t="s">
        <v>1211</v>
      </c>
      <c r="C348" s="1" t="s">
        <v>339</v>
      </c>
      <c r="D348" s="1" t="s">
        <v>340</v>
      </c>
      <c r="E348" s="1" t="s">
        <v>622</v>
      </c>
      <c r="F348" s="1" t="s">
        <v>342</v>
      </c>
      <c r="G348" s="1">
        <v>450</v>
      </c>
    </row>
    <row r="349" spans="1:7">
      <c r="A349" s="1" t="s">
        <v>1212</v>
      </c>
      <c r="B349" s="1" t="s">
        <v>1213</v>
      </c>
      <c r="C349" s="1" t="s">
        <v>425</v>
      </c>
      <c r="D349" s="1" t="s">
        <v>340</v>
      </c>
      <c r="E349" s="1" t="s">
        <v>1214</v>
      </c>
      <c r="F349" s="1" t="s">
        <v>427</v>
      </c>
      <c r="G349" s="1">
        <v>500</v>
      </c>
    </row>
    <row r="350" spans="1:7">
      <c r="A350" s="1" t="s">
        <v>1215</v>
      </c>
      <c r="B350" s="1" t="s">
        <v>1216</v>
      </c>
      <c r="C350" s="1" t="s">
        <v>339</v>
      </c>
      <c r="D350" s="1" t="s">
        <v>340</v>
      </c>
      <c r="E350" s="1" t="s">
        <v>677</v>
      </c>
      <c r="F350" s="1" t="s">
        <v>342</v>
      </c>
      <c r="G350" s="1">
        <v>105</v>
      </c>
    </row>
    <row r="351" spans="1:7">
      <c r="A351" s="1" t="s">
        <v>1217</v>
      </c>
      <c r="B351" s="1" t="s">
        <v>1218</v>
      </c>
      <c r="C351" s="1" t="s">
        <v>440</v>
      </c>
      <c r="D351" s="1" t="s">
        <v>340</v>
      </c>
      <c r="E351" s="1" t="s">
        <v>441</v>
      </c>
      <c r="F351" s="1" t="s">
        <v>357</v>
      </c>
      <c r="G351" s="1">
        <v>1765</v>
      </c>
    </row>
    <row r="352" spans="1:7">
      <c r="A352" s="1" t="s">
        <v>1219</v>
      </c>
      <c r="B352" s="1" t="s">
        <v>1220</v>
      </c>
      <c r="C352" s="1" t="s">
        <v>339</v>
      </c>
      <c r="D352" s="1" t="s">
        <v>340</v>
      </c>
      <c r="E352" s="1" t="s">
        <v>384</v>
      </c>
      <c r="F352" s="1" t="s">
        <v>342</v>
      </c>
      <c r="G352" s="1">
        <v>500</v>
      </c>
    </row>
    <row r="353" spans="1:7">
      <c r="A353" s="1" t="s">
        <v>1221</v>
      </c>
      <c r="B353" s="1" t="s">
        <v>1222</v>
      </c>
      <c r="C353" s="1" t="s">
        <v>339</v>
      </c>
      <c r="D353" s="1" t="s">
        <v>340</v>
      </c>
      <c r="E353" s="1" t="s">
        <v>384</v>
      </c>
      <c r="F353" s="1" t="s">
        <v>357</v>
      </c>
      <c r="G353" s="1">
        <v>2972</v>
      </c>
    </row>
    <row r="354" spans="1:7">
      <c r="A354" s="1" t="s">
        <v>1223</v>
      </c>
      <c r="B354" s="1" t="s">
        <v>1224</v>
      </c>
      <c r="C354" s="1" t="s">
        <v>349</v>
      </c>
      <c r="D354" s="1" t="s">
        <v>64</v>
      </c>
      <c r="E354" s="1" t="s">
        <v>1145</v>
      </c>
      <c r="F354" s="1" t="s">
        <v>357</v>
      </c>
      <c r="G354" s="1">
        <v>1000</v>
      </c>
    </row>
    <row r="355" spans="1:7">
      <c r="A355" s="1" t="s">
        <v>1225</v>
      </c>
      <c r="B355" s="1" t="s">
        <v>1226</v>
      </c>
      <c r="C355" s="1" t="s">
        <v>339</v>
      </c>
      <c r="D355" s="1" t="s">
        <v>340</v>
      </c>
      <c r="E355" s="1" t="s">
        <v>677</v>
      </c>
      <c r="F355" s="1" t="s">
        <v>342</v>
      </c>
      <c r="G355" s="1">
        <v>100</v>
      </c>
    </row>
    <row r="356" spans="1:7">
      <c r="A356" s="1" t="s">
        <v>1227</v>
      </c>
      <c r="B356" s="1" t="s">
        <v>1228</v>
      </c>
      <c r="C356" s="1" t="s">
        <v>401</v>
      </c>
      <c r="D356" s="1" t="s">
        <v>340</v>
      </c>
      <c r="E356" s="1" t="s">
        <v>553</v>
      </c>
      <c r="F356" s="1" t="s">
        <v>357</v>
      </c>
      <c r="G356" s="1">
        <v>900</v>
      </c>
    </row>
    <row r="357" spans="1:7">
      <c r="A357" s="1" t="s">
        <v>185</v>
      </c>
      <c r="B357" s="1" t="s">
        <v>1229</v>
      </c>
      <c r="C357" s="1" t="s">
        <v>511</v>
      </c>
      <c r="D357" s="1" t="s">
        <v>340</v>
      </c>
      <c r="E357" s="1" t="s">
        <v>536</v>
      </c>
      <c r="F357" s="1" t="s">
        <v>513</v>
      </c>
      <c r="G357" s="1">
        <v>255</v>
      </c>
    </row>
    <row r="358" spans="1:7">
      <c r="A358" s="1" t="s">
        <v>1230</v>
      </c>
      <c r="B358" s="1" t="s">
        <v>1231</v>
      </c>
      <c r="C358" s="1" t="s">
        <v>339</v>
      </c>
      <c r="D358" s="1" t="s">
        <v>340</v>
      </c>
      <c r="E358" s="1" t="s">
        <v>1232</v>
      </c>
      <c r="F358" s="1" t="s">
        <v>342</v>
      </c>
      <c r="G358" s="1">
        <v>100</v>
      </c>
    </row>
    <row r="359" spans="1:7">
      <c r="A359" s="1" t="s">
        <v>1233</v>
      </c>
      <c r="B359" s="1" t="s">
        <v>1234</v>
      </c>
      <c r="C359" s="1" t="s">
        <v>345</v>
      </c>
      <c r="D359" s="1" t="s">
        <v>340</v>
      </c>
      <c r="E359" s="1" t="s">
        <v>422</v>
      </c>
      <c r="F359" s="1" t="s">
        <v>347</v>
      </c>
      <c r="G359" s="1">
        <v>125</v>
      </c>
    </row>
    <row r="360" spans="1:7">
      <c r="A360" s="1" t="s">
        <v>1235</v>
      </c>
      <c r="B360" s="1" t="s">
        <v>1236</v>
      </c>
      <c r="C360" s="1" t="s">
        <v>511</v>
      </c>
      <c r="D360" s="1" t="s">
        <v>340</v>
      </c>
      <c r="E360" s="1" t="s">
        <v>536</v>
      </c>
      <c r="F360" s="1" t="s">
        <v>513</v>
      </c>
      <c r="G360" s="1">
        <v>350</v>
      </c>
    </row>
    <row r="361" spans="1:7">
      <c r="A361" s="1" t="s">
        <v>1237</v>
      </c>
      <c r="B361" s="1" t="s">
        <v>1238</v>
      </c>
      <c r="C361" s="1" t="s">
        <v>412</v>
      </c>
      <c r="D361" s="1" t="s">
        <v>340</v>
      </c>
      <c r="E361" s="1" t="s">
        <v>586</v>
      </c>
      <c r="F361" s="1" t="s">
        <v>414</v>
      </c>
      <c r="G361" s="1">
        <v>500</v>
      </c>
    </row>
    <row r="362" spans="1:7">
      <c r="A362" s="1" t="s">
        <v>1239</v>
      </c>
      <c r="B362" s="1" t="s">
        <v>1240</v>
      </c>
      <c r="C362" s="1" t="s">
        <v>339</v>
      </c>
      <c r="D362" s="1" t="s">
        <v>340</v>
      </c>
      <c r="E362" s="1" t="s">
        <v>454</v>
      </c>
      <c r="F362" s="1" t="s">
        <v>342</v>
      </c>
      <c r="G362" s="1">
        <v>500</v>
      </c>
    </row>
    <row r="363" spans="1:7">
      <c r="A363" s="1" t="s">
        <v>1241</v>
      </c>
      <c r="B363" s="1" t="s">
        <v>917</v>
      </c>
      <c r="C363" s="1" t="s">
        <v>918</v>
      </c>
      <c r="D363" s="1" t="s">
        <v>64</v>
      </c>
      <c r="E363" s="1" t="s">
        <v>919</v>
      </c>
      <c r="F363" s="1" t="s">
        <v>533</v>
      </c>
      <c r="G363" s="1">
        <v>100</v>
      </c>
    </row>
    <row r="364" spans="1:7">
      <c r="A364" s="1" t="s">
        <v>1242</v>
      </c>
      <c r="B364" s="1" t="s">
        <v>1243</v>
      </c>
      <c r="C364" s="1" t="s">
        <v>339</v>
      </c>
      <c r="D364" s="1" t="s">
        <v>340</v>
      </c>
      <c r="E364" s="1" t="s">
        <v>480</v>
      </c>
      <c r="F364" s="1" t="s">
        <v>342</v>
      </c>
      <c r="G364" s="1">
        <v>180</v>
      </c>
    </row>
    <row r="365" spans="1:7">
      <c r="A365" s="1" t="s">
        <v>231</v>
      </c>
      <c r="B365" s="1" t="s">
        <v>1244</v>
      </c>
      <c r="C365" s="1" t="s">
        <v>339</v>
      </c>
      <c r="D365" s="1" t="s">
        <v>340</v>
      </c>
      <c r="E365" s="1" t="s">
        <v>390</v>
      </c>
      <c r="F365" s="1" t="s">
        <v>342</v>
      </c>
      <c r="G365" s="1">
        <v>200</v>
      </c>
    </row>
    <row r="366" spans="1:7">
      <c r="A366" s="1" t="s">
        <v>1245</v>
      </c>
      <c r="B366" s="1" t="s">
        <v>1246</v>
      </c>
      <c r="C366" s="1" t="s">
        <v>339</v>
      </c>
      <c r="D366" s="1" t="s">
        <v>340</v>
      </c>
      <c r="E366" s="1" t="s">
        <v>471</v>
      </c>
      <c r="F366" s="1" t="s">
        <v>342</v>
      </c>
      <c r="G366" s="1">
        <v>1000</v>
      </c>
    </row>
    <row r="367" spans="1:7">
      <c r="A367" s="1" t="s">
        <v>1247</v>
      </c>
      <c r="B367" s="1" t="s">
        <v>1248</v>
      </c>
      <c r="C367" s="1" t="s">
        <v>339</v>
      </c>
      <c r="D367" s="1" t="s">
        <v>340</v>
      </c>
      <c r="E367" s="1" t="s">
        <v>341</v>
      </c>
      <c r="F367" s="1" t="s">
        <v>342</v>
      </c>
      <c r="G367" s="1">
        <v>250</v>
      </c>
    </row>
    <row r="368" spans="1:7">
      <c r="A368" s="1" t="s">
        <v>1249</v>
      </c>
      <c r="B368" s="1" t="s">
        <v>1250</v>
      </c>
      <c r="C368" s="1" t="s">
        <v>339</v>
      </c>
      <c r="D368" s="1" t="s">
        <v>340</v>
      </c>
      <c r="E368" s="1" t="s">
        <v>471</v>
      </c>
      <c r="F368" s="1" t="s">
        <v>342</v>
      </c>
      <c r="G368" s="1">
        <v>100</v>
      </c>
    </row>
    <row r="369" spans="1:7">
      <c r="A369" s="1" t="s">
        <v>1251</v>
      </c>
      <c r="B369" s="1" t="s">
        <v>1252</v>
      </c>
      <c r="C369" s="1" t="s">
        <v>345</v>
      </c>
      <c r="D369" s="1" t="s">
        <v>340</v>
      </c>
      <c r="E369" s="1" t="s">
        <v>346</v>
      </c>
      <c r="F369" s="1" t="s">
        <v>347</v>
      </c>
      <c r="G369" s="1">
        <v>125</v>
      </c>
    </row>
    <row r="370" spans="1:7">
      <c r="A370" s="1" t="s">
        <v>1253</v>
      </c>
      <c r="B370" s="1" t="s">
        <v>1254</v>
      </c>
      <c r="C370" s="1" t="s">
        <v>412</v>
      </c>
      <c r="D370" s="1" t="s">
        <v>340</v>
      </c>
      <c r="E370" s="1" t="s">
        <v>586</v>
      </c>
      <c r="F370" s="1" t="s">
        <v>414</v>
      </c>
      <c r="G370" s="1">
        <v>196</v>
      </c>
    </row>
    <row r="371" spans="1:7">
      <c r="A371" s="1" t="s">
        <v>1255</v>
      </c>
      <c r="B371" s="1" t="s">
        <v>1256</v>
      </c>
      <c r="C371" s="1" t="s">
        <v>436</v>
      </c>
      <c r="D371" s="1" t="s">
        <v>340</v>
      </c>
      <c r="E371" s="1" t="s">
        <v>610</v>
      </c>
      <c r="F371" s="1" t="s">
        <v>565</v>
      </c>
      <c r="G371" s="1">
        <v>250</v>
      </c>
    </row>
    <row r="372" spans="1:7">
      <c r="A372" s="1" t="s">
        <v>1257</v>
      </c>
      <c r="B372" s="1" t="s">
        <v>1258</v>
      </c>
      <c r="C372" s="1" t="s">
        <v>339</v>
      </c>
      <c r="D372" s="1" t="s">
        <v>340</v>
      </c>
      <c r="E372" s="1" t="s">
        <v>577</v>
      </c>
      <c r="F372" s="1" t="s">
        <v>357</v>
      </c>
      <c r="G372" s="1">
        <v>2900</v>
      </c>
    </row>
    <row r="373" spans="1:7">
      <c r="A373" s="1" t="s">
        <v>1259</v>
      </c>
      <c r="B373" s="1" t="s">
        <v>1260</v>
      </c>
      <c r="C373" s="1" t="s">
        <v>345</v>
      </c>
      <c r="D373" s="1" t="s">
        <v>340</v>
      </c>
      <c r="E373" s="1" t="s">
        <v>567</v>
      </c>
      <c r="F373" s="1" t="s">
        <v>347</v>
      </c>
      <c r="G373" s="1">
        <v>110</v>
      </c>
    </row>
    <row r="374" spans="1:7">
      <c r="A374" s="1" t="s">
        <v>1261</v>
      </c>
      <c r="B374" s="1" t="s">
        <v>1262</v>
      </c>
      <c r="C374" s="1" t="s">
        <v>339</v>
      </c>
      <c r="D374" s="1" t="s">
        <v>340</v>
      </c>
      <c r="E374" s="1" t="s">
        <v>1155</v>
      </c>
      <c r="F374" s="1" t="s">
        <v>342</v>
      </c>
      <c r="G374" s="1">
        <v>108</v>
      </c>
    </row>
    <row r="375" spans="1:7">
      <c r="A375" s="1" t="s">
        <v>1263</v>
      </c>
      <c r="B375" s="1" t="s">
        <v>1264</v>
      </c>
      <c r="C375" s="1" t="s">
        <v>401</v>
      </c>
      <c r="D375" s="1" t="s">
        <v>340</v>
      </c>
      <c r="E375" s="1" t="s">
        <v>980</v>
      </c>
      <c r="F375" s="1" t="s">
        <v>342</v>
      </c>
      <c r="G375" s="1">
        <v>104</v>
      </c>
    </row>
    <row r="376" spans="1:7">
      <c r="A376" s="1" t="s">
        <v>1265</v>
      </c>
      <c r="B376" s="1" t="s">
        <v>1266</v>
      </c>
      <c r="C376" s="1" t="s">
        <v>339</v>
      </c>
      <c r="D376" s="1" t="s">
        <v>340</v>
      </c>
      <c r="E376" s="1" t="s">
        <v>830</v>
      </c>
      <c r="F376" s="1" t="s">
        <v>342</v>
      </c>
      <c r="G376" s="1">
        <v>100</v>
      </c>
    </row>
    <row r="377" spans="1:7">
      <c r="A377" s="1" t="s">
        <v>1267</v>
      </c>
      <c r="B377" s="1" t="s">
        <v>1268</v>
      </c>
      <c r="C377" s="1" t="s">
        <v>339</v>
      </c>
      <c r="D377" s="1" t="s">
        <v>340</v>
      </c>
      <c r="E377" s="1" t="s">
        <v>480</v>
      </c>
      <c r="F377" s="1" t="s">
        <v>342</v>
      </c>
      <c r="G377" s="1">
        <v>175</v>
      </c>
    </row>
    <row r="378" spans="1:7">
      <c r="A378" s="1" t="s">
        <v>1269</v>
      </c>
      <c r="B378" s="1" t="s">
        <v>1270</v>
      </c>
      <c r="C378" s="1" t="s">
        <v>440</v>
      </c>
      <c r="D378" s="1" t="s">
        <v>340</v>
      </c>
      <c r="E378" s="1" t="s">
        <v>441</v>
      </c>
      <c r="F378" s="1" t="s">
        <v>558</v>
      </c>
      <c r="G378" s="1">
        <v>130</v>
      </c>
    </row>
    <row r="379" spans="1:7">
      <c r="A379" s="1" t="s">
        <v>1271</v>
      </c>
      <c r="B379" s="1" t="s">
        <v>1090</v>
      </c>
      <c r="C379" s="1" t="s">
        <v>447</v>
      </c>
      <c r="D379" s="1" t="s">
        <v>340</v>
      </c>
      <c r="E379" s="1" t="s">
        <v>448</v>
      </c>
      <c r="F379" s="1" t="s">
        <v>357</v>
      </c>
      <c r="G379" s="1">
        <v>500</v>
      </c>
    </row>
    <row r="380" spans="1:7">
      <c r="A380" s="1" t="s">
        <v>1272</v>
      </c>
      <c r="B380" s="1" t="s">
        <v>1273</v>
      </c>
      <c r="C380" s="1" t="s">
        <v>440</v>
      </c>
      <c r="D380" s="1" t="s">
        <v>340</v>
      </c>
      <c r="E380" s="1" t="s">
        <v>441</v>
      </c>
      <c r="F380" s="1" t="s">
        <v>558</v>
      </c>
      <c r="G380" s="1">
        <v>175</v>
      </c>
    </row>
    <row r="381" spans="1:7">
      <c r="A381" s="1" t="s">
        <v>232</v>
      </c>
      <c r="B381" s="1" t="s">
        <v>1274</v>
      </c>
      <c r="C381" s="1" t="s">
        <v>339</v>
      </c>
      <c r="D381" s="1" t="s">
        <v>340</v>
      </c>
      <c r="E381" s="1" t="s">
        <v>735</v>
      </c>
      <c r="F381" s="1" t="s">
        <v>342</v>
      </c>
      <c r="G381" s="1">
        <v>100</v>
      </c>
    </row>
    <row r="382" spans="1:7">
      <c r="A382" s="1" t="s">
        <v>1275</v>
      </c>
      <c r="B382" s="1" t="s">
        <v>1276</v>
      </c>
      <c r="C382" s="1" t="s">
        <v>339</v>
      </c>
      <c r="D382" s="1" t="s">
        <v>340</v>
      </c>
      <c r="E382" s="1" t="s">
        <v>677</v>
      </c>
      <c r="F382" s="1" t="s">
        <v>342</v>
      </c>
      <c r="G382" s="1">
        <v>150</v>
      </c>
    </row>
    <row r="383" spans="1:7">
      <c r="A383" s="1" t="s">
        <v>1277</v>
      </c>
      <c r="B383" s="1" t="s">
        <v>1278</v>
      </c>
      <c r="C383" s="1" t="s">
        <v>339</v>
      </c>
      <c r="D383" s="1" t="s">
        <v>340</v>
      </c>
      <c r="E383" s="1">
        <v>28230</v>
      </c>
      <c r="F383" s="1" t="s">
        <v>342</v>
      </c>
      <c r="G383" s="1">
        <v>300</v>
      </c>
    </row>
    <row r="384" spans="1:7">
      <c r="A384" s="1" t="s">
        <v>1279</v>
      </c>
      <c r="B384" s="1" t="s">
        <v>1090</v>
      </c>
      <c r="C384" s="1" t="s">
        <v>918</v>
      </c>
      <c r="D384" s="1" t="s">
        <v>64</v>
      </c>
      <c r="E384" s="1" t="s">
        <v>919</v>
      </c>
      <c r="F384" s="1" t="s">
        <v>533</v>
      </c>
      <c r="G384" s="1">
        <v>184</v>
      </c>
    </row>
    <row r="385" spans="1:7">
      <c r="A385" s="1" t="s">
        <v>1280</v>
      </c>
      <c r="B385" s="1" t="s">
        <v>1281</v>
      </c>
      <c r="C385" s="1" t="s">
        <v>339</v>
      </c>
      <c r="D385" s="1" t="s">
        <v>340</v>
      </c>
      <c r="E385" s="1" t="s">
        <v>715</v>
      </c>
      <c r="F385" s="1" t="s">
        <v>342</v>
      </c>
      <c r="G385" s="1">
        <v>100</v>
      </c>
    </row>
    <row r="386" spans="1:7">
      <c r="A386" s="1" t="s">
        <v>1282</v>
      </c>
      <c r="B386" s="1" t="s">
        <v>1283</v>
      </c>
      <c r="C386" s="1" t="s">
        <v>723</v>
      </c>
      <c r="D386" s="1" t="s">
        <v>340</v>
      </c>
      <c r="E386" s="1" t="s">
        <v>1284</v>
      </c>
      <c r="F386" s="1" t="s">
        <v>364</v>
      </c>
      <c r="G386" s="1">
        <v>150</v>
      </c>
    </row>
    <row r="387" spans="1:7">
      <c r="A387" s="1" t="s">
        <v>1285</v>
      </c>
      <c r="B387" s="1" t="s">
        <v>1286</v>
      </c>
      <c r="C387" s="1" t="s">
        <v>511</v>
      </c>
      <c r="D387" s="1" t="s">
        <v>340</v>
      </c>
      <c r="E387" s="1" t="s">
        <v>852</v>
      </c>
      <c r="F387" s="1" t="s">
        <v>513</v>
      </c>
      <c r="G387" s="1">
        <v>650</v>
      </c>
    </row>
    <row r="388" spans="1:7">
      <c r="A388" s="1" t="s">
        <v>1287</v>
      </c>
      <c r="B388" s="1" t="s">
        <v>1288</v>
      </c>
      <c r="C388" s="1" t="s">
        <v>1017</v>
      </c>
      <c r="D388" s="1" t="s">
        <v>340</v>
      </c>
      <c r="E388" s="1" t="s">
        <v>1018</v>
      </c>
      <c r="F388" s="1" t="s">
        <v>558</v>
      </c>
      <c r="G388" s="1">
        <v>500</v>
      </c>
    </row>
    <row r="389" spans="1:7">
      <c r="A389" s="1" t="s">
        <v>233</v>
      </c>
      <c r="B389" s="1" t="s">
        <v>1289</v>
      </c>
      <c r="C389" s="1" t="s">
        <v>425</v>
      </c>
      <c r="D389" s="1" t="s">
        <v>340</v>
      </c>
      <c r="E389" s="1" t="s">
        <v>1290</v>
      </c>
      <c r="F389" s="1" t="s">
        <v>427</v>
      </c>
      <c r="G389" s="1">
        <v>100</v>
      </c>
    </row>
    <row r="390" spans="1:7">
      <c r="A390" s="1" t="s">
        <v>1291</v>
      </c>
      <c r="B390" s="1" t="s">
        <v>1292</v>
      </c>
      <c r="C390" s="1" t="s">
        <v>1293</v>
      </c>
      <c r="D390" s="1" t="s">
        <v>340</v>
      </c>
      <c r="E390" s="1" t="s">
        <v>1294</v>
      </c>
      <c r="F390" s="1" t="s">
        <v>565</v>
      </c>
      <c r="G390" s="1">
        <v>100</v>
      </c>
    </row>
    <row r="391" spans="1:7">
      <c r="A391" s="1" t="s">
        <v>1295</v>
      </c>
      <c r="B391" s="1" t="s">
        <v>1296</v>
      </c>
      <c r="C391" s="1" t="s">
        <v>339</v>
      </c>
      <c r="D391" s="1" t="s">
        <v>340</v>
      </c>
      <c r="E391" s="1" t="s">
        <v>390</v>
      </c>
      <c r="F391" s="1" t="s">
        <v>357</v>
      </c>
      <c r="G391" s="1">
        <v>120</v>
      </c>
    </row>
    <row r="392" spans="1:7">
      <c r="A392" s="1" t="s">
        <v>1297</v>
      </c>
      <c r="B392" s="1" t="s">
        <v>1298</v>
      </c>
      <c r="C392" s="1" t="s">
        <v>339</v>
      </c>
      <c r="D392" s="1" t="s">
        <v>340</v>
      </c>
      <c r="E392" s="1" t="s">
        <v>404</v>
      </c>
      <c r="F392" s="1" t="s">
        <v>342</v>
      </c>
      <c r="G392" s="1">
        <v>100</v>
      </c>
    </row>
    <row r="393" spans="1:7">
      <c r="A393" s="1" t="s">
        <v>1299</v>
      </c>
      <c r="B393" s="1" t="s">
        <v>1300</v>
      </c>
      <c r="C393" s="1" t="s">
        <v>339</v>
      </c>
      <c r="D393" s="1" t="s">
        <v>340</v>
      </c>
      <c r="E393" s="1" t="s">
        <v>622</v>
      </c>
      <c r="F393" s="1" t="s">
        <v>357</v>
      </c>
      <c r="G393" s="1">
        <v>280</v>
      </c>
    </row>
    <row r="394" spans="1:7">
      <c r="A394" s="1" t="s">
        <v>1301</v>
      </c>
      <c r="B394" s="1" t="s">
        <v>1302</v>
      </c>
      <c r="C394" s="1" t="s">
        <v>339</v>
      </c>
      <c r="D394" s="1" t="s">
        <v>340</v>
      </c>
      <c r="E394" s="1" t="s">
        <v>1303</v>
      </c>
      <c r="F394" s="1" t="s">
        <v>357</v>
      </c>
      <c r="G394" s="1">
        <v>220</v>
      </c>
    </row>
    <row r="395" spans="1:7">
      <c r="A395" s="1" t="s">
        <v>1304</v>
      </c>
      <c r="B395" s="1" t="s">
        <v>770</v>
      </c>
      <c r="C395" s="1" t="s">
        <v>436</v>
      </c>
      <c r="D395" s="1" t="s">
        <v>340</v>
      </c>
      <c r="E395" s="1" t="s">
        <v>771</v>
      </c>
      <c r="F395" s="1" t="s">
        <v>565</v>
      </c>
      <c r="G395" s="1">
        <v>150</v>
      </c>
    </row>
    <row r="396" spans="1:7">
      <c r="A396" s="1" t="s">
        <v>1305</v>
      </c>
      <c r="B396" s="1" t="s">
        <v>1306</v>
      </c>
      <c r="C396" s="1" t="s">
        <v>339</v>
      </c>
      <c r="D396" s="1" t="s">
        <v>340</v>
      </c>
      <c r="E396" s="1" t="s">
        <v>341</v>
      </c>
      <c r="F396" s="1" t="s">
        <v>342</v>
      </c>
      <c r="G396" s="1">
        <v>100</v>
      </c>
    </row>
    <row r="397" spans="1:7">
      <c r="A397" s="1" t="s">
        <v>1307</v>
      </c>
      <c r="B397" s="1" t="s">
        <v>1308</v>
      </c>
      <c r="C397" s="1" t="s">
        <v>723</v>
      </c>
      <c r="D397" s="1" t="s">
        <v>340</v>
      </c>
      <c r="E397" s="1" t="s">
        <v>724</v>
      </c>
      <c r="F397" s="1" t="s">
        <v>364</v>
      </c>
      <c r="G397" s="1">
        <v>100</v>
      </c>
    </row>
    <row r="398" spans="1:7">
      <c r="A398" s="1" t="s">
        <v>1309</v>
      </c>
      <c r="B398" s="1" t="s">
        <v>1310</v>
      </c>
      <c r="C398" s="1" t="s">
        <v>1311</v>
      </c>
      <c r="D398" s="1" t="s">
        <v>340</v>
      </c>
      <c r="E398" s="1" t="s">
        <v>1312</v>
      </c>
      <c r="F398" s="1" t="s">
        <v>364</v>
      </c>
      <c r="G398" s="1">
        <v>102</v>
      </c>
    </row>
    <row r="399" spans="1:7">
      <c r="A399" s="1" t="s">
        <v>1313</v>
      </c>
      <c r="B399" s="1" t="s">
        <v>1314</v>
      </c>
      <c r="C399" s="1" t="s">
        <v>1315</v>
      </c>
      <c r="D399" s="1" t="s">
        <v>1316</v>
      </c>
      <c r="E399" s="1" t="s">
        <v>1317</v>
      </c>
      <c r="F399" s="1" t="s">
        <v>357</v>
      </c>
      <c r="G399" s="1">
        <v>2500</v>
      </c>
    </row>
    <row r="400" spans="1:7">
      <c r="A400" s="1" t="s">
        <v>1318</v>
      </c>
      <c r="B400" s="1" t="s">
        <v>1319</v>
      </c>
      <c r="C400" s="1" t="s">
        <v>339</v>
      </c>
      <c r="D400" s="1" t="s">
        <v>340</v>
      </c>
      <c r="E400" s="1" t="s">
        <v>454</v>
      </c>
      <c r="F400" s="1" t="s">
        <v>342</v>
      </c>
      <c r="G400" s="1">
        <v>300</v>
      </c>
    </row>
    <row r="401" spans="1:7">
      <c r="A401" s="1" t="s">
        <v>1320</v>
      </c>
      <c r="B401" s="1" t="s">
        <v>1321</v>
      </c>
      <c r="C401" s="1" t="s">
        <v>723</v>
      </c>
      <c r="D401" s="1" t="s">
        <v>340</v>
      </c>
      <c r="E401" s="1" t="s">
        <v>724</v>
      </c>
      <c r="F401" s="1" t="s">
        <v>364</v>
      </c>
      <c r="G401" s="1">
        <v>220</v>
      </c>
    </row>
    <row r="402" spans="1:7">
      <c r="A402" s="1" t="s">
        <v>1322</v>
      </c>
      <c r="B402" s="1" t="s">
        <v>1323</v>
      </c>
      <c r="C402" s="1" t="s">
        <v>659</v>
      </c>
      <c r="D402" s="1" t="s">
        <v>340</v>
      </c>
      <c r="E402" s="1" t="s">
        <v>660</v>
      </c>
      <c r="F402" s="1" t="s">
        <v>414</v>
      </c>
      <c r="G402" s="1">
        <v>173</v>
      </c>
    </row>
    <row r="403" spans="1:7">
      <c r="A403" s="1" t="s">
        <v>1324</v>
      </c>
      <c r="B403" s="1" t="s">
        <v>1325</v>
      </c>
      <c r="C403" s="1" t="s">
        <v>345</v>
      </c>
      <c r="D403" s="1" t="s">
        <v>340</v>
      </c>
      <c r="E403" s="1" t="s">
        <v>346</v>
      </c>
      <c r="F403" s="1" t="s">
        <v>347</v>
      </c>
      <c r="G403" s="1">
        <v>500</v>
      </c>
    </row>
    <row r="404" spans="1:7">
      <c r="A404" s="1" t="s">
        <v>234</v>
      </c>
      <c r="B404" s="1" t="s">
        <v>1326</v>
      </c>
      <c r="C404" s="1" t="s">
        <v>1327</v>
      </c>
      <c r="D404" s="1" t="s">
        <v>840</v>
      </c>
      <c r="E404" s="1">
        <v>32859</v>
      </c>
      <c r="F404" s="1" t="s">
        <v>357</v>
      </c>
      <c r="G404" s="1">
        <v>500</v>
      </c>
    </row>
    <row r="405" spans="1:7">
      <c r="A405" s="1" t="s">
        <v>1328</v>
      </c>
      <c r="B405" s="1" t="s">
        <v>1329</v>
      </c>
      <c r="C405" s="1" t="s">
        <v>511</v>
      </c>
      <c r="D405" s="1" t="s">
        <v>340</v>
      </c>
      <c r="E405" s="1" t="s">
        <v>663</v>
      </c>
      <c r="F405" s="1" t="s">
        <v>513</v>
      </c>
      <c r="G405" s="1">
        <v>150</v>
      </c>
    </row>
    <row r="406" spans="1:7">
      <c r="A406" s="1" t="s">
        <v>1330</v>
      </c>
      <c r="B406" s="1" t="s">
        <v>1331</v>
      </c>
      <c r="C406" s="1" t="s">
        <v>339</v>
      </c>
      <c r="D406" s="1" t="s">
        <v>340</v>
      </c>
      <c r="E406" s="1" t="s">
        <v>674</v>
      </c>
      <c r="F406" s="1" t="s">
        <v>342</v>
      </c>
      <c r="G406" s="1">
        <v>120</v>
      </c>
    </row>
    <row r="407" spans="1:7">
      <c r="A407" s="1" t="s">
        <v>1332</v>
      </c>
      <c r="B407" s="1" t="s">
        <v>1333</v>
      </c>
      <c r="C407" s="1" t="s">
        <v>1334</v>
      </c>
      <c r="D407" s="1" t="s">
        <v>340</v>
      </c>
      <c r="E407" s="1" t="s">
        <v>1335</v>
      </c>
      <c r="F407" s="1" t="s">
        <v>342</v>
      </c>
      <c r="G407" s="1">
        <v>800</v>
      </c>
    </row>
    <row r="408" spans="1:7">
      <c r="A408" s="1" t="s">
        <v>1336</v>
      </c>
      <c r="B408" s="1" t="s">
        <v>1337</v>
      </c>
      <c r="C408" s="1" t="s">
        <v>362</v>
      </c>
      <c r="D408" s="1" t="s">
        <v>340</v>
      </c>
      <c r="E408" s="1" t="s">
        <v>430</v>
      </c>
      <c r="F408" s="1" t="s">
        <v>364</v>
      </c>
      <c r="G408" s="1">
        <v>600</v>
      </c>
    </row>
    <row r="409" spans="1:7">
      <c r="A409" s="1" t="s">
        <v>235</v>
      </c>
      <c r="B409" s="1" t="s">
        <v>1338</v>
      </c>
      <c r="C409" s="1" t="s">
        <v>401</v>
      </c>
      <c r="D409" s="1" t="s">
        <v>340</v>
      </c>
      <c r="E409" s="1" t="s">
        <v>402</v>
      </c>
      <c r="F409" s="1" t="s">
        <v>342</v>
      </c>
      <c r="G409" s="1">
        <v>100</v>
      </c>
    </row>
    <row r="410" spans="1:7">
      <c r="A410" s="1" t="s">
        <v>236</v>
      </c>
      <c r="B410" s="1" t="s">
        <v>1339</v>
      </c>
      <c r="C410" s="1" t="s">
        <v>52</v>
      </c>
      <c r="D410" s="1" t="s">
        <v>53</v>
      </c>
      <c r="E410" s="1" t="s">
        <v>1340</v>
      </c>
      <c r="F410" s="1" t="s">
        <v>357</v>
      </c>
      <c r="G410" s="1">
        <v>100</v>
      </c>
    </row>
    <row r="411" spans="1:7">
      <c r="A411" s="1" t="s">
        <v>1341</v>
      </c>
      <c r="B411" s="1" t="s">
        <v>1342</v>
      </c>
      <c r="C411" s="1" t="s">
        <v>412</v>
      </c>
      <c r="D411" s="1" t="s">
        <v>340</v>
      </c>
      <c r="E411" s="1" t="s">
        <v>413</v>
      </c>
      <c r="F411" s="1" t="s">
        <v>414</v>
      </c>
      <c r="G411" s="1">
        <v>120</v>
      </c>
    </row>
    <row r="412" spans="1:7">
      <c r="A412" s="1" t="s">
        <v>1343</v>
      </c>
      <c r="B412" s="1" t="s">
        <v>1060</v>
      </c>
      <c r="C412" s="1" t="s">
        <v>436</v>
      </c>
      <c r="D412" s="1" t="s">
        <v>340</v>
      </c>
      <c r="E412" s="1" t="s">
        <v>771</v>
      </c>
      <c r="F412" s="1" t="s">
        <v>357</v>
      </c>
      <c r="G412" s="1">
        <v>8658</v>
      </c>
    </row>
    <row r="413" spans="1:7">
      <c r="A413" s="1" t="s">
        <v>1344</v>
      </c>
      <c r="B413" s="1" t="s">
        <v>1345</v>
      </c>
      <c r="C413" s="1" t="s">
        <v>339</v>
      </c>
      <c r="D413" s="1" t="s">
        <v>340</v>
      </c>
      <c r="E413" s="1" t="s">
        <v>677</v>
      </c>
      <c r="F413" s="1" t="s">
        <v>342</v>
      </c>
      <c r="G413" s="1">
        <v>601</v>
      </c>
    </row>
    <row r="414" spans="1:7">
      <c r="A414" s="1" t="s">
        <v>1346</v>
      </c>
      <c r="B414" s="1" t="s">
        <v>1347</v>
      </c>
      <c r="C414" s="1" t="s">
        <v>844</v>
      </c>
      <c r="D414" s="1" t="s">
        <v>340</v>
      </c>
      <c r="E414" s="1" t="s">
        <v>845</v>
      </c>
      <c r="F414" s="1" t="s">
        <v>558</v>
      </c>
      <c r="G414" s="1">
        <v>400</v>
      </c>
    </row>
    <row r="415" spans="1:7">
      <c r="A415" s="1" t="s">
        <v>237</v>
      </c>
      <c r="B415" s="1" t="s">
        <v>1348</v>
      </c>
      <c r="C415" s="1" t="s">
        <v>339</v>
      </c>
      <c r="D415" s="1" t="s">
        <v>340</v>
      </c>
      <c r="E415" s="1" t="s">
        <v>480</v>
      </c>
      <c r="F415" s="1" t="s">
        <v>342</v>
      </c>
      <c r="G415" s="1">
        <v>120</v>
      </c>
    </row>
    <row r="416" spans="1:7">
      <c r="A416" s="1" t="s">
        <v>1349</v>
      </c>
      <c r="B416" s="1" t="s">
        <v>1350</v>
      </c>
      <c r="C416" s="1" t="s">
        <v>723</v>
      </c>
      <c r="D416" s="1" t="s">
        <v>340</v>
      </c>
      <c r="E416" s="1" t="s">
        <v>724</v>
      </c>
      <c r="F416" s="1" t="s">
        <v>364</v>
      </c>
      <c r="G416" s="1">
        <v>500</v>
      </c>
    </row>
    <row r="417" spans="1:7">
      <c r="A417" s="1" t="s">
        <v>238</v>
      </c>
      <c r="B417" s="1" t="s">
        <v>1351</v>
      </c>
      <c r="C417" s="1" t="s">
        <v>339</v>
      </c>
      <c r="D417" s="1" t="s">
        <v>340</v>
      </c>
      <c r="E417" s="1" t="s">
        <v>404</v>
      </c>
      <c r="F417" s="1" t="s">
        <v>342</v>
      </c>
      <c r="G417" s="1">
        <v>175</v>
      </c>
    </row>
    <row r="418" spans="1:7">
      <c r="A418" s="1" t="s">
        <v>239</v>
      </c>
      <c r="B418" s="1" t="s">
        <v>1352</v>
      </c>
      <c r="C418" s="1" t="s">
        <v>49</v>
      </c>
      <c r="D418" s="1" t="s">
        <v>50</v>
      </c>
      <c r="E418" s="1" t="s">
        <v>1353</v>
      </c>
      <c r="F418" s="1" t="s">
        <v>357</v>
      </c>
      <c r="G418" s="1">
        <v>250</v>
      </c>
    </row>
    <row r="419" spans="1:7">
      <c r="A419" s="1" t="s">
        <v>1354</v>
      </c>
      <c r="B419" s="1" t="s">
        <v>1355</v>
      </c>
      <c r="C419" s="1" t="s">
        <v>349</v>
      </c>
      <c r="D419" s="1" t="s">
        <v>64</v>
      </c>
      <c r="E419" s="1" t="s">
        <v>350</v>
      </c>
      <c r="F419" s="1" t="s">
        <v>351</v>
      </c>
      <c r="G419" s="1">
        <v>100</v>
      </c>
    </row>
    <row r="420" spans="1:7">
      <c r="A420" s="1" t="s">
        <v>1356</v>
      </c>
      <c r="B420" s="1" t="s">
        <v>1357</v>
      </c>
      <c r="C420" s="1" t="s">
        <v>339</v>
      </c>
      <c r="D420" s="1" t="s">
        <v>340</v>
      </c>
      <c r="E420" s="1" t="s">
        <v>471</v>
      </c>
      <c r="F420" s="1" t="s">
        <v>342</v>
      </c>
      <c r="G420" s="1">
        <v>100</v>
      </c>
    </row>
    <row r="421" spans="1:7">
      <c r="A421" s="1" t="s">
        <v>1358</v>
      </c>
      <c r="B421" s="1" t="s">
        <v>1359</v>
      </c>
      <c r="C421" s="1" t="s">
        <v>436</v>
      </c>
      <c r="D421" s="1" t="s">
        <v>340</v>
      </c>
      <c r="E421" s="1" t="s">
        <v>437</v>
      </c>
      <c r="F421" s="1" t="s">
        <v>357</v>
      </c>
      <c r="G421" s="1">
        <v>850</v>
      </c>
    </row>
    <row r="422" spans="1:7">
      <c r="A422" s="1" t="s">
        <v>1360</v>
      </c>
      <c r="B422" s="1" t="s">
        <v>1361</v>
      </c>
      <c r="C422" s="1" t="s">
        <v>339</v>
      </c>
      <c r="D422" s="1" t="s">
        <v>340</v>
      </c>
      <c r="E422" s="1" t="s">
        <v>622</v>
      </c>
      <c r="F422" s="1" t="s">
        <v>342</v>
      </c>
      <c r="G422" s="1">
        <v>100</v>
      </c>
    </row>
    <row r="423" spans="1:7">
      <c r="A423" s="1" t="s">
        <v>1362</v>
      </c>
      <c r="B423" s="1" t="s">
        <v>1363</v>
      </c>
      <c r="C423" s="1" t="s">
        <v>339</v>
      </c>
      <c r="D423" s="1" t="s">
        <v>340</v>
      </c>
      <c r="E423" s="1" t="s">
        <v>677</v>
      </c>
      <c r="F423" s="1" t="s">
        <v>342</v>
      </c>
      <c r="G423" s="1">
        <v>129</v>
      </c>
    </row>
    <row r="424" spans="1:7">
      <c r="A424" s="1" t="s">
        <v>1364</v>
      </c>
      <c r="B424" s="1" t="s">
        <v>1365</v>
      </c>
      <c r="C424" s="1" t="s">
        <v>339</v>
      </c>
      <c r="D424" s="1" t="s">
        <v>340</v>
      </c>
      <c r="E424" s="1" t="s">
        <v>613</v>
      </c>
      <c r="F424" s="1" t="s">
        <v>342</v>
      </c>
      <c r="G424" s="1">
        <v>117</v>
      </c>
    </row>
    <row r="425" spans="1:7">
      <c r="A425" s="1" t="s">
        <v>1366</v>
      </c>
      <c r="B425" s="1" t="s">
        <v>1367</v>
      </c>
      <c r="C425" s="1" t="s">
        <v>460</v>
      </c>
      <c r="D425" s="1" t="s">
        <v>340</v>
      </c>
      <c r="E425" s="1" t="s">
        <v>461</v>
      </c>
      <c r="F425" s="1" t="s">
        <v>342</v>
      </c>
      <c r="G425" s="1">
        <v>100</v>
      </c>
    </row>
    <row r="426" spans="1:7">
      <c r="A426" s="1" t="s">
        <v>1368</v>
      </c>
      <c r="B426" s="1" t="s">
        <v>1369</v>
      </c>
      <c r="C426" s="1" t="s">
        <v>339</v>
      </c>
      <c r="D426" s="1" t="s">
        <v>340</v>
      </c>
      <c r="E426" s="1" t="s">
        <v>390</v>
      </c>
      <c r="F426" s="1" t="s">
        <v>342</v>
      </c>
      <c r="G426" s="1">
        <v>600</v>
      </c>
    </row>
    <row r="427" spans="1:7">
      <c r="A427" s="1" t="s">
        <v>1370</v>
      </c>
      <c r="B427" s="1" t="s">
        <v>1371</v>
      </c>
      <c r="C427" s="1" t="s">
        <v>511</v>
      </c>
      <c r="D427" s="1" t="s">
        <v>340</v>
      </c>
      <c r="E427" s="1" t="s">
        <v>536</v>
      </c>
      <c r="F427" s="1" t="s">
        <v>513</v>
      </c>
      <c r="G427" s="1">
        <v>130</v>
      </c>
    </row>
    <row r="428" spans="1:7">
      <c r="A428" s="1" t="s">
        <v>1372</v>
      </c>
      <c r="B428" s="1" t="s">
        <v>1373</v>
      </c>
      <c r="C428" s="1" t="s">
        <v>339</v>
      </c>
      <c r="D428" s="1" t="s">
        <v>340</v>
      </c>
      <c r="E428" s="1" t="s">
        <v>480</v>
      </c>
      <c r="F428" s="1" t="s">
        <v>357</v>
      </c>
      <c r="G428" s="1">
        <v>650</v>
      </c>
    </row>
    <row r="429" spans="1:7">
      <c r="A429" s="1" t="s">
        <v>1374</v>
      </c>
      <c r="B429" s="1" t="s">
        <v>1375</v>
      </c>
      <c r="C429" s="1" t="s">
        <v>339</v>
      </c>
      <c r="D429" s="1" t="s">
        <v>340</v>
      </c>
      <c r="E429" s="1" t="s">
        <v>1011</v>
      </c>
      <c r="F429" s="1" t="s">
        <v>342</v>
      </c>
      <c r="G429" s="1">
        <v>120</v>
      </c>
    </row>
    <row r="430" spans="1:7">
      <c r="A430" s="1" t="s">
        <v>1376</v>
      </c>
      <c r="B430" s="1" t="s">
        <v>1377</v>
      </c>
      <c r="C430" s="1" t="s">
        <v>339</v>
      </c>
      <c r="D430" s="1" t="s">
        <v>340</v>
      </c>
      <c r="E430" s="1" t="s">
        <v>629</v>
      </c>
      <c r="F430" s="1" t="s">
        <v>342</v>
      </c>
      <c r="G430" s="1">
        <v>137</v>
      </c>
    </row>
    <row r="431" spans="1:7">
      <c r="A431" s="1" t="s">
        <v>1378</v>
      </c>
      <c r="B431" s="1" t="s">
        <v>1379</v>
      </c>
      <c r="C431" s="1" t="s">
        <v>1017</v>
      </c>
      <c r="D431" s="1" t="s">
        <v>340</v>
      </c>
      <c r="E431" s="1" t="s">
        <v>1018</v>
      </c>
      <c r="F431" s="1" t="s">
        <v>558</v>
      </c>
      <c r="G431" s="1">
        <v>400</v>
      </c>
    </row>
    <row r="432" spans="1:7">
      <c r="A432" s="1" t="s">
        <v>1380</v>
      </c>
      <c r="B432" s="1" t="s">
        <v>1381</v>
      </c>
      <c r="C432" s="1" t="s">
        <v>339</v>
      </c>
      <c r="D432" s="1" t="s">
        <v>340</v>
      </c>
      <c r="E432" s="1" t="s">
        <v>715</v>
      </c>
      <c r="F432" s="1" t="s">
        <v>342</v>
      </c>
      <c r="G432" s="1">
        <v>112</v>
      </c>
    </row>
    <row r="433" spans="1:7">
      <c r="A433" s="1" t="s">
        <v>1382</v>
      </c>
      <c r="B433" s="1" t="s">
        <v>1383</v>
      </c>
      <c r="C433" s="1" t="s">
        <v>440</v>
      </c>
      <c r="D433" s="1" t="s">
        <v>340</v>
      </c>
      <c r="E433" s="1" t="s">
        <v>1169</v>
      </c>
      <c r="F433" s="1" t="s">
        <v>558</v>
      </c>
      <c r="G433" s="1">
        <v>350</v>
      </c>
    </row>
    <row r="434" spans="1:7">
      <c r="A434" s="1" t="s">
        <v>1384</v>
      </c>
      <c r="B434" s="1" t="s">
        <v>1385</v>
      </c>
      <c r="C434" s="1" t="s">
        <v>460</v>
      </c>
      <c r="D434" s="1" t="s">
        <v>340</v>
      </c>
      <c r="E434" s="1" t="s">
        <v>461</v>
      </c>
      <c r="F434" s="1" t="s">
        <v>342</v>
      </c>
      <c r="G434" s="1">
        <v>170</v>
      </c>
    </row>
    <row r="435" spans="1:7">
      <c r="A435" s="1" t="s">
        <v>1386</v>
      </c>
      <c r="B435" s="1" t="s">
        <v>1387</v>
      </c>
      <c r="C435" s="1" t="s">
        <v>362</v>
      </c>
      <c r="D435" s="1" t="s">
        <v>340</v>
      </c>
      <c r="E435" s="1" t="s">
        <v>518</v>
      </c>
      <c r="F435" s="1" t="s">
        <v>364</v>
      </c>
      <c r="G435" s="1">
        <v>256</v>
      </c>
    </row>
    <row r="436" spans="1:7">
      <c r="A436" s="1" t="s">
        <v>1388</v>
      </c>
      <c r="B436" s="1" t="s">
        <v>1389</v>
      </c>
      <c r="C436" s="1" t="s">
        <v>339</v>
      </c>
      <c r="D436" s="1" t="s">
        <v>340</v>
      </c>
      <c r="E436" s="1" t="s">
        <v>390</v>
      </c>
      <c r="F436" s="1" t="s">
        <v>342</v>
      </c>
      <c r="G436" s="1">
        <v>160</v>
      </c>
    </row>
    <row r="437" spans="1:7">
      <c r="A437" s="1" t="s">
        <v>1390</v>
      </c>
      <c r="B437" s="1" t="s">
        <v>1391</v>
      </c>
      <c r="C437" s="1" t="s">
        <v>412</v>
      </c>
      <c r="D437" s="1" t="s">
        <v>340</v>
      </c>
      <c r="E437" s="1" t="s">
        <v>586</v>
      </c>
      <c r="F437" s="1" t="s">
        <v>414</v>
      </c>
      <c r="G437" s="1">
        <v>400</v>
      </c>
    </row>
    <row r="438" spans="1:7">
      <c r="A438" s="1" t="s">
        <v>1392</v>
      </c>
      <c r="B438" s="1" t="s">
        <v>1393</v>
      </c>
      <c r="C438" s="1" t="s">
        <v>339</v>
      </c>
      <c r="D438" s="1" t="s">
        <v>340</v>
      </c>
      <c r="E438" s="1" t="s">
        <v>454</v>
      </c>
      <c r="F438" s="1" t="s">
        <v>342</v>
      </c>
      <c r="G438" s="1">
        <v>180</v>
      </c>
    </row>
    <row r="439" spans="1:7">
      <c r="A439" s="1" t="s">
        <v>1394</v>
      </c>
      <c r="B439" s="1" t="s">
        <v>1395</v>
      </c>
      <c r="C439" s="1" t="s">
        <v>775</v>
      </c>
      <c r="D439" s="1" t="s">
        <v>64</v>
      </c>
      <c r="E439" s="1" t="s">
        <v>1396</v>
      </c>
      <c r="F439" s="1" t="s">
        <v>775</v>
      </c>
      <c r="G439" s="1">
        <v>650</v>
      </c>
    </row>
    <row r="440" spans="1:7">
      <c r="A440" s="1" t="s">
        <v>1397</v>
      </c>
      <c r="B440" s="1" t="s">
        <v>1398</v>
      </c>
      <c r="C440" s="1" t="s">
        <v>339</v>
      </c>
      <c r="D440" s="1" t="s">
        <v>340</v>
      </c>
      <c r="E440" s="1" t="s">
        <v>480</v>
      </c>
      <c r="F440" s="1" t="s">
        <v>342</v>
      </c>
      <c r="G440" s="1">
        <v>117</v>
      </c>
    </row>
    <row r="441" spans="1:7">
      <c r="A441" s="1" t="s">
        <v>1399</v>
      </c>
      <c r="B441" s="1" t="s">
        <v>1400</v>
      </c>
      <c r="C441" s="1" t="s">
        <v>1401</v>
      </c>
      <c r="D441" s="1" t="s">
        <v>340</v>
      </c>
      <c r="E441" s="1" t="s">
        <v>1402</v>
      </c>
      <c r="F441" s="1" t="s">
        <v>347</v>
      </c>
      <c r="G441" s="1">
        <v>230</v>
      </c>
    </row>
    <row r="442" spans="1:7">
      <c r="A442" s="1" t="s">
        <v>1403</v>
      </c>
      <c r="B442" s="1" t="s">
        <v>1404</v>
      </c>
      <c r="C442" s="1" t="s">
        <v>339</v>
      </c>
      <c r="D442" s="1" t="s">
        <v>340</v>
      </c>
      <c r="E442" s="1" t="s">
        <v>830</v>
      </c>
      <c r="F442" s="1" t="s">
        <v>342</v>
      </c>
      <c r="G442" s="1">
        <v>100</v>
      </c>
    </row>
    <row r="443" spans="1:7">
      <c r="A443" s="1" t="s">
        <v>240</v>
      </c>
      <c r="B443" s="1" t="s">
        <v>1405</v>
      </c>
      <c r="C443" s="1" t="s">
        <v>349</v>
      </c>
      <c r="D443" s="1" t="s">
        <v>64</v>
      </c>
      <c r="E443" s="1" t="s">
        <v>350</v>
      </c>
      <c r="F443" s="1" t="s">
        <v>351</v>
      </c>
      <c r="G443" s="1">
        <v>150</v>
      </c>
    </row>
    <row r="444" spans="1:7">
      <c r="A444" s="1" t="s">
        <v>1406</v>
      </c>
      <c r="B444" s="1" t="s">
        <v>1407</v>
      </c>
      <c r="C444" s="1" t="s">
        <v>417</v>
      </c>
      <c r="D444" s="1" t="s">
        <v>340</v>
      </c>
      <c r="E444" s="1" t="s">
        <v>418</v>
      </c>
      <c r="F444" s="1" t="s">
        <v>419</v>
      </c>
      <c r="G444" s="1">
        <v>600</v>
      </c>
    </row>
    <row r="445" spans="1:7">
      <c r="A445" s="1" t="s">
        <v>1408</v>
      </c>
      <c r="B445" s="1" t="s">
        <v>1409</v>
      </c>
      <c r="C445" s="1" t="s">
        <v>1410</v>
      </c>
      <c r="D445" s="1" t="s">
        <v>1316</v>
      </c>
      <c r="E445" s="1" t="s">
        <v>1411</v>
      </c>
      <c r="F445" s="1" t="s">
        <v>357</v>
      </c>
      <c r="G445" s="1">
        <v>1500</v>
      </c>
    </row>
    <row r="446" spans="1:7">
      <c r="A446" s="1" t="s">
        <v>1412</v>
      </c>
      <c r="B446" s="1" t="s">
        <v>1413</v>
      </c>
      <c r="C446" s="1" t="s">
        <v>339</v>
      </c>
      <c r="D446" s="1" t="s">
        <v>340</v>
      </c>
      <c r="E446" s="1" t="s">
        <v>594</v>
      </c>
      <c r="F446" s="1" t="s">
        <v>357</v>
      </c>
      <c r="G446" s="1">
        <v>100</v>
      </c>
    </row>
    <row r="447" spans="1:7">
      <c r="A447" s="1" t="s">
        <v>1414</v>
      </c>
      <c r="B447" s="1" t="s">
        <v>1415</v>
      </c>
      <c r="C447" s="1" t="s">
        <v>606</v>
      </c>
      <c r="D447" s="1" t="s">
        <v>340</v>
      </c>
      <c r="E447" s="1" t="s">
        <v>607</v>
      </c>
      <c r="F447" s="1" t="s">
        <v>414</v>
      </c>
      <c r="G447" s="1">
        <v>204</v>
      </c>
    </row>
    <row r="448" spans="1:7">
      <c r="A448" s="1" t="s">
        <v>1416</v>
      </c>
      <c r="B448" s="1" t="s">
        <v>1417</v>
      </c>
      <c r="C448" s="1" t="s">
        <v>339</v>
      </c>
      <c r="D448" s="1" t="s">
        <v>340</v>
      </c>
      <c r="E448" s="1" t="s">
        <v>480</v>
      </c>
      <c r="F448" s="1" t="s">
        <v>342</v>
      </c>
      <c r="G448" s="1">
        <v>850</v>
      </c>
    </row>
    <row r="449" spans="1:7">
      <c r="A449" s="1" t="s">
        <v>1418</v>
      </c>
      <c r="B449" s="1" t="s">
        <v>1419</v>
      </c>
      <c r="C449" s="1" t="s">
        <v>1420</v>
      </c>
      <c r="D449" s="1" t="s">
        <v>340</v>
      </c>
      <c r="E449" s="1" t="s">
        <v>1421</v>
      </c>
      <c r="F449" s="1" t="s">
        <v>427</v>
      </c>
      <c r="G449" s="1">
        <v>160</v>
      </c>
    </row>
    <row r="450" spans="1:7">
      <c r="A450" s="1" t="s">
        <v>1422</v>
      </c>
      <c r="B450" s="1" t="s">
        <v>1423</v>
      </c>
      <c r="C450" s="1" t="s">
        <v>339</v>
      </c>
      <c r="D450" s="1" t="s">
        <v>340</v>
      </c>
      <c r="E450" s="1" t="s">
        <v>471</v>
      </c>
      <c r="F450" s="1" t="s">
        <v>342</v>
      </c>
      <c r="G450" s="1">
        <v>200</v>
      </c>
    </row>
    <row r="451" spans="1:7">
      <c r="A451" s="1" t="s">
        <v>1424</v>
      </c>
      <c r="B451" s="1" t="s">
        <v>1425</v>
      </c>
      <c r="C451" s="1" t="s">
        <v>606</v>
      </c>
      <c r="D451" s="1" t="s">
        <v>340</v>
      </c>
      <c r="E451" s="1" t="s">
        <v>607</v>
      </c>
      <c r="F451" s="1" t="s">
        <v>414</v>
      </c>
      <c r="G451" s="1">
        <v>140</v>
      </c>
    </row>
    <row r="452" spans="1:7">
      <c r="A452" s="1" t="s">
        <v>1426</v>
      </c>
      <c r="B452" s="1" t="s">
        <v>1427</v>
      </c>
      <c r="C452" s="1" t="s">
        <v>339</v>
      </c>
      <c r="D452" s="1" t="s">
        <v>340</v>
      </c>
      <c r="E452" s="1" t="s">
        <v>594</v>
      </c>
      <c r="F452" s="1" t="s">
        <v>342</v>
      </c>
      <c r="G452" s="1">
        <v>250</v>
      </c>
    </row>
    <row r="453" spans="1:7">
      <c r="A453" s="1" t="s">
        <v>1428</v>
      </c>
      <c r="B453" s="1" t="s">
        <v>1429</v>
      </c>
      <c r="C453" s="1" t="s">
        <v>362</v>
      </c>
      <c r="D453" s="1" t="s">
        <v>340</v>
      </c>
      <c r="E453" s="1" t="s">
        <v>430</v>
      </c>
      <c r="F453" s="1" t="s">
        <v>364</v>
      </c>
      <c r="G453" s="1">
        <v>346</v>
      </c>
    </row>
    <row r="454" spans="1:7">
      <c r="A454" s="1" t="s">
        <v>1430</v>
      </c>
      <c r="B454" s="1" t="s">
        <v>1431</v>
      </c>
      <c r="C454" s="1" t="s">
        <v>339</v>
      </c>
      <c r="D454" s="1" t="s">
        <v>340</v>
      </c>
      <c r="E454" s="1" t="s">
        <v>480</v>
      </c>
      <c r="F454" s="1" t="s">
        <v>342</v>
      </c>
      <c r="G454" s="1">
        <v>100</v>
      </c>
    </row>
    <row r="455" spans="1:7">
      <c r="A455" s="1" t="s">
        <v>1432</v>
      </c>
      <c r="B455" s="1" t="s">
        <v>1433</v>
      </c>
      <c r="C455" s="1" t="s">
        <v>467</v>
      </c>
      <c r="D455" s="1" t="s">
        <v>64</v>
      </c>
      <c r="E455" s="1" t="s">
        <v>468</v>
      </c>
      <c r="F455" s="1" t="s">
        <v>351</v>
      </c>
      <c r="G455" s="1">
        <v>225</v>
      </c>
    </row>
    <row r="456" spans="1:7">
      <c r="A456" s="1" t="s">
        <v>1434</v>
      </c>
      <c r="B456" s="1" t="s">
        <v>1435</v>
      </c>
      <c r="C456" s="1" t="s">
        <v>339</v>
      </c>
      <c r="D456" s="1" t="s">
        <v>340</v>
      </c>
      <c r="E456" s="1" t="s">
        <v>390</v>
      </c>
      <c r="F456" s="1" t="s">
        <v>342</v>
      </c>
      <c r="G456" s="1">
        <v>100</v>
      </c>
    </row>
    <row r="457" spans="1:7">
      <c r="A457" s="1" t="s">
        <v>241</v>
      </c>
      <c r="B457" s="1" t="s">
        <v>1436</v>
      </c>
      <c r="C457" s="1" t="s">
        <v>556</v>
      </c>
      <c r="D457" s="1" t="s">
        <v>340</v>
      </c>
      <c r="E457" s="1" t="s">
        <v>557</v>
      </c>
      <c r="F457" s="1" t="s">
        <v>558</v>
      </c>
      <c r="G457" s="1">
        <v>100</v>
      </c>
    </row>
    <row r="458" spans="1:7">
      <c r="A458" s="1" t="s">
        <v>1437</v>
      </c>
      <c r="B458" s="1" t="s">
        <v>1438</v>
      </c>
      <c r="C458" s="1" t="s">
        <v>501</v>
      </c>
      <c r="D458" s="1" t="s">
        <v>340</v>
      </c>
      <c r="E458" s="1" t="s">
        <v>502</v>
      </c>
      <c r="F458" s="1" t="s">
        <v>364</v>
      </c>
      <c r="G458" s="1">
        <v>320</v>
      </c>
    </row>
    <row r="459" spans="1:7">
      <c r="A459" s="1" t="s">
        <v>1439</v>
      </c>
      <c r="B459" s="1" t="s">
        <v>1440</v>
      </c>
      <c r="C459" s="1" t="s">
        <v>339</v>
      </c>
      <c r="D459" s="1" t="s">
        <v>340</v>
      </c>
      <c r="E459" s="1" t="s">
        <v>471</v>
      </c>
      <c r="F459" s="1" t="s">
        <v>342</v>
      </c>
      <c r="G459" s="1">
        <v>260</v>
      </c>
    </row>
    <row r="460" spans="1:7">
      <c r="A460" s="1" t="s">
        <v>1441</v>
      </c>
      <c r="B460" s="1" t="s">
        <v>1442</v>
      </c>
      <c r="C460" s="1" t="s">
        <v>339</v>
      </c>
      <c r="D460" s="1" t="s">
        <v>340</v>
      </c>
      <c r="E460" s="1" t="s">
        <v>384</v>
      </c>
      <c r="F460" s="1" t="s">
        <v>357</v>
      </c>
      <c r="G460" s="1">
        <v>200</v>
      </c>
    </row>
    <row r="461" spans="1:7">
      <c r="A461" s="1" t="s">
        <v>1443</v>
      </c>
      <c r="B461" s="1" t="s">
        <v>1444</v>
      </c>
      <c r="C461" s="1" t="s">
        <v>417</v>
      </c>
      <c r="D461" s="1" t="s">
        <v>340</v>
      </c>
      <c r="E461" s="1" t="s">
        <v>418</v>
      </c>
      <c r="F461" s="1" t="s">
        <v>419</v>
      </c>
      <c r="G461" s="1">
        <v>530</v>
      </c>
    </row>
    <row r="462" spans="1:7">
      <c r="A462" s="1" t="s">
        <v>1445</v>
      </c>
      <c r="B462" s="1" t="s">
        <v>1446</v>
      </c>
      <c r="C462" s="1" t="s">
        <v>339</v>
      </c>
      <c r="D462" s="1" t="s">
        <v>340</v>
      </c>
      <c r="E462" s="1" t="s">
        <v>384</v>
      </c>
      <c r="F462" s="1" t="s">
        <v>342</v>
      </c>
      <c r="G462" s="1">
        <v>125</v>
      </c>
    </row>
    <row r="463" spans="1:7">
      <c r="A463" s="1" t="s">
        <v>1447</v>
      </c>
      <c r="B463" s="1" t="s">
        <v>1448</v>
      </c>
      <c r="C463" s="1" t="s">
        <v>339</v>
      </c>
      <c r="D463" s="1" t="s">
        <v>340</v>
      </c>
      <c r="E463" s="1" t="s">
        <v>715</v>
      </c>
      <c r="F463" s="1" t="s">
        <v>342</v>
      </c>
      <c r="G463" s="1">
        <v>125</v>
      </c>
    </row>
    <row r="464" spans="1:7">
      <c r="A464" s="1" t="s">
        <v>1449</v>
      </c>
      <c r="B464" s="1" t="s">
        <v>1450</v>
      </c>
      <c r="C464" s="1" t="s">
        <v>339</v>
      </c>
      <c r="D464" s="1" t="s">
        <v>340</v>
      </c>
      <c r="E464" s="1" t="s">
        <v>677</v>
      </c>
      <c r="F464" s="1" t="s">
        <v>342</v>
      </c>
      <c r="G464" s="1">
        <v>260</v>
      </c>
    </row>
    <row r="465" spans="1:7">
      <c r="A465" s="1" t="s">
        <v>1451</v>
      </c>
      <c r="B465" s="1" t="s">
        <v>1452</v>
      </c>
      <c r="C465" s="1" t="s">
        <v>339</v>
      </c>
      <c r="D465" s="1" t="s">
        <v>340</v>
      </c>
      <c r="E465" s="1" t="s">
        <v>390</v>
      </c>
      <c r="F465" s="1" t="s">
        <v>342</v>
      </c>
      <c r="G465" s="1">
        <v>240</v>
      </c>
    </row>
    <row r="466" spans="1:7">
      <c r="A466" s="1" t="s">
        <v>1453</v>
      </c>
      <c r="B466" s="1" t="s">
        <v>1454</v>
      </c>
      <c r="C466" s="1" t="s">
        <v>339</v>
      </c>
      <c r="D466" s="1" t="s">
        <v>340</v>
      </c>
      <c r="E466" s="1" t="s">
        <v>622</v>
      </c>
      <c r="F466" s="1" t="s">
        <v>342</v>
      </c>
      <c r="G466" s="1">
        <v>116</v>
      </c>
    </row>
    <row r="467" spans="1:7">
      <c r="A467" s="1" t="s">
        <v>1455</v>
      </c>
      <c r="B467" s="1" t="s">
        <v>1456</v>
      </c>
      <c r="C467" s="1" t="s">
        <v>339</v>
      </c>
      <c r="D467" s="1" t="s">
        <v>340</v>
      </c>
      <c r="E467" s="1" t="s">
        <v>1457</v>
      </c>
      <c r="F467" s="1" t="s">
        <v>342</v>
      </c>
      <c r="G467" s="1">
        <v>500</v>
      </c>
    </row>
    <row r="468" spans="1:7">
      <c r="A468" s="1" t="s">
        <v>1458</v>
      </c>
      <c r="B468" s="1" t="s">
        <v>1459</v>
      </c>
      <c r="C468" s="1" t="s">
        <v>844</v>
      </c>
      <c r="D468" s="1" t="s">
        <v>340</v>
      </c>
      <c r="E468" s="1" t="s">
        <v>845</v>
      </c>
      <c r="F468" s="1" t="s">
        <v>558</v>
      </c>
      <c r="G468" s="1">
        <v>550</v>
      </c>
    </row>
    <row r="469" spans="1:7">
      <c r="A469" s="1" t="s">
        <v>1460</v>
      </c>
      <c r="B469" s="1" t="s">
        <v>1461</v>
      </c>
      <c r="C469" s="1" t="s">
        <v>339</v>
      </c>
      <c r="D469" s="1" t="s">
        <v>340</v>
      </c>
      <c r="E469" s="1" t="s">
        <v>629</v>
      </c>
      <c r="F469" s="1" t="s">
        <v>342</v>
      </c>
      <c r="G469" s="1">
        <v>200</v>
      </c>
    </row>
    <row r="470" spans="1:7">
      <c r="A470" s="1" t="s">
        <v>1462</v>
      </c>
      <c r="B470" s="1" t="s">
        <v>1463</v>
      </c>
      <c r="C470" s="1" t="s">
        <v>362</v>
      </c>
      <c r="D470" s="1" t="s">
        <v>340</v>
      </c>
      <c r="E470" s="1" t="s">
        <v>518</v>
      </c>
      <c r="F470" s="1" t="s">
        <v>364</v>
      </c>
      <c r="G470" s="1">
        <v>340</v>
      </c>
    </row>
    <row r="471" spans="1:7">
      <c r="A471" s="1" t="s">
        <v>1464</v>
      </c>
      <c r="B471" s="1" t="s">
        <v>1465</v>
      </c>
      <c r="C471" s="1" t="s">
        <v>582</v>
      </c>
      <c r="D471" s="1" t="s">
        <v>64</v>
      </c>
      <c r="E471" s="1" t="s">
        <v>583</v>
      </c>
      <c r="F471" s="1" t="s">
        <v>584</v>
      </c>
      <c r="G471" s="1">
        <v>100</v>
      </c>
    </row>
    <row r="472" spans="1:7">
      <c r="A472" s="1" t="s">
        <v>1466</v>
      </c>
      <c r="B472" s="1" t="s">
        <v>1467</v>
      </c>
      <c r="C472" s="1" t="s">
        <v>436</v>
      </c>
      <c r="D472" s="1" t="s">
        <v>340</v>
      </c>
      <c r="E472" s="1" t="s">
        <v>610</v>
      </c>
      <c r="F472" s="1" t="s">
        <v>357</v>
      </c>
      <c r="G472" s="1">
        <v>260</v>
      </c>
    </row>
    <row r="473" spans="1:7">
      <c r="A473" s="1" t="s">
        <v>1468</v>
      </c>
      <c r="B473" s="1" t="s">
        <v>1469</v>
      </c>
      <c r="C473" s="1" t="s">
        <v>339</v>
      </c>
      <c r="D473" s="1" t="s">
        <v>340</v>
      </c>
      <c r="E473" s="1" t="s">
        <v>1470</v>
      </c>
      <c r="F473" s="1" t="s">
        <v>342</v>
      </c>
      <c r="G473" s="1">
        <v>100</v>
      </c>
    </row>
    <row r="474" spans="1:7">
      <c r="A474" s="1" t="s">
        <v>1471</v>
      </c>
      <c r="B474" s="1" t="s">
        <v>1472</v>
      </c>
      <c r="C474" s="1" t="s">
        <v>339</v>
      </c>
      <c r="D474" s="1" t="s">
        <v>340</v>
      </c>
      <c r="E474" s="1" t="s">
        <v>677</v>
      </c>
      <c r="F474" s="1" t="s">
        <v>342</v>
      </c>
      <c r="G474" s="1">
        <v>100</v>
      </c>
    </row>
    <row r="475" spans="1:7">
      <c r="A475" s="1" t="s">
        <v>1473</v>
      </c>
      <c r="B475" s="1" t="s">
        <v>1474</v>
      </c>
      <c r="C475" s="1" t="s">
        <v>339</v>
      </c>
      <c r="D475" s="1" t="s">
        <v>340</v>
      </c>
      <c r="E475" s="1">
        <v>28201</v>
      </c>
      <c r="F475" s="1" t="s">
        <v>357</v>
      </c>
      <c r="G475" s="1">
        <v>2203</v>
      </c>
    </row>
    <row r="476" spans="1:7">
      <c r="A476" s="1" t="s">
        <v>1475</v>
      </c>
      <c r="B476" s="1" t="s">
        <v>1476</v>
      </c>
      <c r="C476" s="1" t="s">
        <v>339</v>
      </c>
      <c r="D476" s="1" t="s">
        <v>340</v>
      </c>
      <c r="E476" s="1" t="s">
        <v>384</v>
      </c>
      <c r="F476" s="1" t="s">
        <v>342</v>
      </c>
      <c r="G476" s="1">
        <v>151</v>
      </c>
    </row>
    <row r="477" spans="1:7">
      <c r="A477" s="1" t="s">
        <v>1477</v>
      </c>
      <c r="B477" s="1" t="s">
        <v>1478</v>
      </c>
      <c r="C477" s="1" t="s">
        <v>339</v>
      </c>
      <c r="D477" s="1" t="s">
        <v>340</v>
      </c>
      <c r="E477" s="1" t="s">
        <v>870</v>
      </c>
      <c r="F477" s="1" t="s">
        <v>342</v>
      </c>
      <c r="G477" s="1">
        <v>500</v>
      </c>
    </row>
    <row r="478" spans="1:7">
      <c r="A478" s="1" t="s">
        <v>1479</v>
      </c>
      <c r="B478" s="1" t="s">
        <v>1480</v>
      </c>
      <c r="C478" s="1" t="s">
        <v>339</v>
      </c>
      <c r="D478" s="1" t="s">
        <v>340</v>
      </c>
      <c r="E478" s="1" t="s">
        <v>580</v>
      </c>
      <c r="F478" s="1" t="s">
        <v>342</v>
      </c>
      <c r="G478" s="1">
        <v>450</v>
      </c>
    </row>
    <row r="479" spans="1:7">
      <c r="A479" s="1" t="s">
        <v>1481</v>
      </c>
      <c r="B479" s="1" t="s">
        <v>1482</v>
      </c>
      <c r="C479" s="1" t="s">
        <v>339</v>
      </c>
      <c r="D479" s="1" t="s">
        <v>340</v>
      </c>
      <c r="E479" s="1" t="s">
        <v>404</v>
      </c>
      <c r="F479" s="1" t="s">
        <v>342</v>
      </c>
      <c r="G479" s="1">
        <v>398</v>
      </c>
    </row>
    <row r="480" spans="1:7">
      <c r="A480" s="1" t="s">
        <v>1483</v>
      </c>
      <c r="B480" s="1" t="s">
        <v>1484</v>
      </c>
      <c r="C480" s="1" t="s">
        <v>339</v>
      </c>
      <c r="D480" s="1" t="s">
        <v>340</v>
      </c>
      <c r="E480" s="1" t="s">
        <v>1303</v>
      </c>
      <c r="F480" s="1" t="s">
        <v>342</v>
      </c>
      <c r="G480" s="1">
        <v>600</v>
      </c>
    </row>
    <row r="481" spans="1:7">
      <c r="A481" s="1" t="s">
        <v>1485</v>
      </c>
      <c r="B481" s="1" t="s">
        <v>1486</v>
      </c>
      <c r="C481" s="1" t="s">
        <v>339</v>
      </c>
      <c r="D481" s="1" t="s">
        <v>340</v>
      </c>
      <c r="E481" s="1" t="s">
        <v>783</v>
      </c>
      <c r="F481" s="1" t="s">
        <v>342</v>
      </c>
      <c r="G481" s="1">
        <v>250</v>
      </c>
    </row>
    <row r="482" spans="1:7">
      <c r="A482" s="1" t="s">
        <v>1487</v>
      </c>
      <c r="B482" s="1" t="s">
        <v>1488</v>
      </c>
      <c r="C482" s="1" t="s">
        <v>339</v>
      </c>
      <c r="D482" s="1" t="s">
        <v>340</v>
      </c>
      <c r="E482" s="1" t="s">
        <v>341</v>
      </c>
      <c r="F482" s="1" t="s">
        <v>342</v>
      </c>
      <c r="G482" s="1">
        <v>100</v>
      </c>
    </row>
    <row r="483" spans="1:7">
      <c r="A483" s="1" t="s">
        <v>1489</v>
      </c>
      <c r="B483" s="1" t="s">
        <v>1490</v>
      </c>
      <c r="C483" s="1" t="s">
        <v>339</v>
      </c>
      <c r="D483" s="1" t="s">
        <v>340</v>
      </c>
      <c r="E483" s="1" t="s">
        <v>341</v>
      </c>
      <c r="F483" s="1" t="s">
        <v>342</v>
      </c>
      <c r="G483" s="1">
        <v>100</v>
      </c>
    </row>
    <row r="484" spans="1:7">
      <c r="A484" s="1" t="s">
        <v>1491</v>
      </c>
      <c r="B484" s="1" t="s">
        <v>1492</v>
      </c>
      <c r="C484" s="1" t="s">
        <v>440</v>
      </c>
      <c r="D484" s="1" t="s">
        <v>340</v>
      </c>
      <c r="E484" s="1" t="s">
        <v>441</v>
      </c>
      <c r="F484" s="1" t="s">
        <v>357</v>
      </c>
      <c r="G484" s="1">
        <v>290</v>
      </c>
    </row>
    <row r="485" spans="1:7">
      <c r="A485" s="1" t="s">
        <v>1493</v>
      </c>
      <c r="B485" s="1" t="s">
        <v>1494</v>
      </c>
      <c r="C485" s="1" t="s">
        <v>1495</v>
      </c>
      <c r="D485" s="1" t="s">
        <v>340</v>
      </c>
      <c r="E485" s="1" t="s">
        <v>1496</v>
      </c>
      <c r="F485" s="1" t="s">
        <v>427</v>
      </c>
      <c r="G485" s="1">
        <v>235</v>
      </c>
    </row>
    <row r="486" spans="1:7">
      <c r="A486" s="1" t="s">
        <v>1497</v>
      </c>
      <c r="B486" s="1" t="s">
        <v>1498</v>
      </c>
      <c r="C486" s="1" t="s">
        <v>339</v>
      </c>
      <c r="D486" s="1" t="s">
        <v>340</v>
      </c>
      <c r="E486" s="1" t="s">
        <v>471</v>
      </c>
      <c r="F486" s="1" t="s">
        <v>342</v>
      </c>
      <c r="G486" s="1">
        <v>125</v>
      </c>
    </row>
    <row r="487" spans="1:7">
      <c r="A487" s="1" t="s">
        <v>1499</v>
      </c>
      <c r="B487" s="1" t="s">
        <v>1500</v>
      </c>
      <c r="C487" s="1" t="s">
        <v>351</v>
      </c>
      <c r="D487" s="1" t="s">
        <v>64</v>
      </c>
      <c r="E487" s="1" t="s">
        <v>490</v>
      </c>
      <c r="F487" s="1" t="s">
        <v>351</v>
      </c>
      <c r="G487" s="1">
        <v>180</v>
      </c>
    </row>
    <row r="488" spans="1:7">
      <c r="A488" s="1" t="s">
        <v>1501</v>
      </c>
      <c r="B488" s="1" t="s">
        <v>1502</v>
      </c>
      <c r="C488" s="1" t="s">
        <v>824</v>
      </c>
      <c r="D488" s="1" t="s">
        <v>340</v>
      </c>
      <c r="E488" s="1" t="s">
        <v>825</v>
      </c>
      <c r="F488" s="1" t="s">
        <v>347</v>
      </c>
      <c r="G488" s="1">
        <v>350</v>
      </c>
    </row>
    <row r="489" spans="1:7">
      <c r="A489" s="1" t="s">
        <v>1503</v>
      </c>
      <c r="B489" s="1" t="s">
        <v>1504</v>
      </c>
      <c r="C489" s="1" t="s">
        <v>339</v>
      </c>
      <c r="D489" s="1" t="s">
        <v>340</v>
      </c>
      <c r="E489" s="1">
        <v>28237</v>
      </c>
      <c r="F489" s="1" t="s">
        <v>357</v>
      </c>
      <c r="G489" s="1">
        <v>626</v>
      </c>
    </row>
    <row r="490" spans="1:7">
      <c r="A490" s="1" t="s">
        <v>1505</v>
      </c>
      <c r="B490" s="1" t="s">
        <v>1506</v>
      </c>
      <c r="C490" s="1" t="s">
        <v>339</v>
      </c>
      <c r="D490" s="1" t="s">
        <v>340</v>
      </c>
      <c r="E490" s="1" t="s">
        <v>622</v>
      </c>
      <c r="F490" s="1" t="s">
        <v>342</v>
      </c>
      <c r="G490" s="1">
        <v>150</v>
      </c>
    </row>
    <row r="491" spans="1:7">
      <c r="A491" s="1" t="s">
        <v>1507</v>
      </c>
      <c r="B491" s="1" t="s">
        <v>1508</v>
      </c>
      <c r="C491" s="1" t="s">
        <v>625</v>
      </c>
      <c r="D491" s="1" t="s">
        <v>340</v>
      </c>
      <c r="E491" s="1" t="s">
        <v>709</v>
      </c>
      <c r="F491" s="1" t="s">
        <v>357</v>
      </c>
      <c r="G491" s="1">
        <v>200</v>
      </c>
    </row>
    <row r="492" spans="1:7">
      <c r="A492" s="1" t="s">
        <v>1509</v>
      </c>
      <c r="B492" s="1" t="s">
        <v>1510</v>
      </c>
      <c r="C492" s="1" t="s">
        <v>511</v>
      </c>
      <c r="D492" s="1" t="s">
        <v>340</v>
      </c>
      <c r="E492" s="1" t="s">
        <v>536</v>
      </c>
      <c r="F492" s="1" t="s">
        <v>513</v>
      </c>
      <c r="G492" s="1">
        <v>180</v>
      </c>
    </row>
    <row r="493" spans="1:7">
      <c r="A493" s="1" t="s">
        <v>1511</v>
      </c>
      <c r="B493" s="1" t="s">
        <v>1512</v>
      </c>
      <c r="C493" s="1" t="s">
        <v>339</v>
      </c>
      <c r="D493" s="1" t="s">
        <v>340</v>
      </c>
      <c r="E493" s="1" t="s">
        <v>376</v>
      </c>
      <c r="F493" s="1" t="s">
        <v>357</v>
      </c>
      <c r="G493" s="1">
        <v>325</v>
      </c>
    </row>
    <row r="494" spans="1:7">
      <c r="A494" s="1" t="s">
        <v>1513</v>
      </c>
      <c r="B494" s="1" t="s">
        <v>1514</v>
      </c>
      <c r="C494" s="1" t="s">
        <v>440</v>
      </c>
      <c r="D494" s="1" t="s">
        <v>340</v>
      </c>
      <c r="E494" s="1" t="s">
        <v>885</v>
      </c>
      <c r="F494" s="1" t="s">
        <v>558</v>
      </c>
      <c r="G494" s="1">
        <v>250</v>
      </c>
    </row>
    <row r="495" spans="1:7">
      <c r="A495" s="1" t="s">
        <v>1515</v>
      </c>
      <c r="B495" s="1" t="s">
        <v>1516</v>
      </c>
      <c r="C495" s="1" t="s">
        <v>339</v>
      </c>
      <c r="D495" s="1" t="s">
        <v>340</v>
      </c>
      <c r="E495" s="1" t="s">
        <v>454</v>
      </c>
      <c r="F495" s="1" t="s">
        <v>342</v>
      </c>
      <c r="G495" s="1">
        <v>100</v>
      </c>
    </row>
    <row r="496" spans="1:7">
      <c r="A496" s="1" t="s">
        <v>1517</v>
      </c>
      <c r="B496" s="1" t="s">
        <v>1518</v>
      </c>
      <c r="C496" s="1" t="s">
        <v>339</v>
      </c>
      <c r="D496" s="1" t="s">
        <v>340</v>
      </c>
      <c r="E496" s="1" t="s">
        <v>404</v>
      </c>
      <c r="F496" s="1" t="s">
        <v>357</v>
      </c>
      <c r="G496" s="1">
        <v>322</v>
      </c>
    </row>
    <row r="497" spans="1:7">
      <c r="A497" s="1" t="s">
        <v>1519</v>
      </c>
      <c r="B497" s="1" t="s">
        <v>1520</v>
      </c>
      <c r="C497" s="1" t="s">
        <v>408</v>
      </c>
      <c r="D497" s="1" t="s">
        <v>340</v>
      </c>
      <c r="E497" s="1" t="s">
        <v>409</v>
      </c>
      <c r="F497" s="1" t="s">
        <v>342</v>
      </c>
      <c r="G497" s="1">
        <v>180</v>
      </c>
    </row>
    <row r="498" spans="1:7">
      <c r="A498" s="1" t="s">
        <v>1521</v>
      </c>
      <c r="B498" s="1" t="s">
        <v>1522</v>
      </c>
      <c r="C498" s="1" t="s">
        <v>556</v>
      </c>
      <c r="D498" s="1" t="s">
        <v>340</v>
      </c>
      <c r="E498" s="1" t="s">
        <v>557</v>
      </c>
      <c r="F498" s="1" t="s">
        <v>558</v>
      </c>
      <c r="G498" s="1">
        <v>200</v>
      </c>
    </row>
    <row r="499" spans="1:7">
      <c r="A499" s="1" t="s">
        <v>1523</v>
      </c>
      <c r="B499" s="1" t="s">
        <v>1524</v>
      </c>
      <c r="C499" s="1" t="s">
        <v>339</v>
      </c>
      <c r="D499" s="1" t="s">
        <v>340</v>
      </c>
      <c r="E499" s="1" t="s">
        <v>521</v>
      </c>
      <c r="F499" s="1" t="s">
        <v>342</v>
      </c>
      <c r="G499" s="1">
        <v>120</v>
      </c>
    </row>
    <row r="500" spans="1:7">
      <c r="A500" s="1" t="s">
        <v>1525</v>
      </c>
      <c r="B500" s="1" t="s">
        <v>1526</v>
      </c>
      <c r="C500" s="1" t="s">
        <v>775</v>
      </c>
      <c r="D500" s="1" t="s">
        <v>64</v>
      </c>
      <c r="E500" s="1" t="s">
        <v>1527</v>
      </c>
      <c r="F500" s="1" t="s">
        <v>775</v>
      </c>
      <c r="G500" s="1">
        <v>436</v>
      </c>
    </row>
    <row r="501" spans="1:7">
      <c r="A501" s="1" t="s">
        <v>1528</v>
      </c>
      <c r="B501" s="1" t="s">
        <v>1529</v>
      </c>
      <c r="C501" s="1" t="s">
        <v>339</v>
      </c>
      <c r="D501" s="1" t="s">
        <v>340</v>
      </c>
      <c r="E501" s="1" t="s">
        <v>480</v>
      </c>
      <c r="F501" s="1" t="s">
        <v>342</v>
      </c>
      <c r="G501" s="1">
        <v>145</v>
      </c>
    </row>
    <row r="502" spans="1:7">
      <c r="A502" s="1" t="s">
        <v>1530</v>
      </c>
      <c r="B502" s="1" t="s">
        <v>1531</v>
      </c>
      <c r="C502" s="1" t="s">
        <v>419</v>
      </c>
      <c r="D502" s="1" t="s">
        <v>340</v>
      </c>
      <c r="E502" s="1" t="s">
        <v>603</v>
      </c>
      <c r="F502" s="1" t="s">
        <v>357</v>
      </c>
      <c r="G502" s="1">
        <v>4540</v>
      </c>
    </row>
    <row r="503" spans="1:7">
      <c r="A503" s="1" t="s">
        <v>1532</v>
      </c>
      <c r="B503" s="1" t="s">
        <v>1533</v>
      </c>
      <c r="C503" s="1" t="s">
        <v>339</v>
      </c>
      <c r="D503" s="1" t="s">
        <v>340</v>
      </c>
      <c r="E503" s="1" t="s">
        <v>1534</v>
      </c>
      <c r="F503" s="1" t="s">
        <v>342</v>
      </c>
      <c r="G503" s="1">
        <v>100</v>
      </c>
    </row>
    <row r="504" spans="1:7">
      <c r="A504" s="1" t="s">
        <v>1535</v>
      </c>
      <c r="B504" s="1" t="s">
        <v>1536</v>
      </c>
      <c r="C504" s="1" t="s">
        <v>436</v>
      </c>
      <c r="D504" s="1" t="s">
        <v>340</v>
      </c>
      <c r="E504" s="1" t="s">
        <v>771</v>
      </c>
      <c r="F504" s="1" t="s">
        <v>565</v>
      </c>
      <c r="G504" s="1">
        <v>100</v>
      </c>
    </row>
    <row r="505" spans="1:7">
      <c r="A505" s="1" t="s">
        <v>1537</v>
      </c>
      <c r="B505" s="1" t="s">
        <v>1538</v>
      </c>
      <c r="C505" s="1" t="s">
        <v>339</v>
      </c>
      <c r="D505" s="1" t="s">
        <v>340</v>
      </c>
      <c r="E505" s="1" t="s">
        <v>480</v>
      </c>
      <c r="F505" s="1" t="s">
        <v>342</v>
      </c>
      <c r="G505" s="1">
        <v>750</v>
      </c>
    </row>
    <row r="506" spans="1:7">
      <c r="A506" s="1" t="s">
        <v>1539</v>
      </c>
      <c r="B506" s="1" t="s">
        <v>1540</v>
      </c>
      <c r="C506" s="1" t="s">
        <v>339</v>
      </c>
      <c r="D506" s="1" t="s">
        <v>340</v>
      </c>
      <c r="E506" s="1" t="s">
        <v>376</v>
      </c>
      <c r="F506" s="1" t="s">
        <v>342</v>
      </c>
      <c r="G506" s="1">
        <v>122</v>
      </c>
    </row>
    <row r="507" spans="1:7">
      <c r="A507" s="1" t="s">
        <v>1541</v>
      </c>
      <c r="B507" s="1" t="s">
        <v>1542</v>
      </c>
      <c r="C507" s="1" t="s">
        <v>440</v>
      </c>
      <c r="D507" s="1" t="s">
        <v>340</v>
      </c>
      <c r="E507" s="1" t="s">
        <v>1169</v>
      </c>
      <c r="F507" s="1" t="s">
        <v>558</v>
      </c>
      <c r="G507" s="1">
        <v>2144</v>
      </c>
    </row>
    <row r="508" spans="1:7">
      <c r="A508" s="1" t="s">
        <v>1543</v>
      </c>
      <c r="B508" s="1" t="s">
        <v>1544</v>
      </c>
      <c r="C508" s="1" t="s">
        <v>511</v>
      </c>
      <c r="D508" s="1" t="s">
        <v>340</v>
      </c>
      <c r="E508" s="1" t="s">
        <v>852</v>
      </c>
      <c r="F508" s="1" t="s">
        <v>513</v>
      </c>
      <c r="G508" s="1">
        <v>500</v>
      </c>
    </row>
    <row r="509" spans="1:7">
      <c r="A509" s="1" t="s">
        <v>1545</v>
      </c>
      <c r="B509" s="1" t="s">
        <v>1546</v>
      </c>
      <c r="C509" s="1" t="s">
        <v>440</v>
      </c>
      <c r="D509" s="1" t="s">
        <v>340</v>
      </c>
      <c r="E509" s="1" t="s">
        <v>441</v>
      </c>
      <c r="F509" s="1" t="s">
        <v>558</v>
      </c>
      <c r="G509" s="1">
        <v>140</v>
      </c>
    </row>
    <row r="510" spans="1:7">
      <c r="A510" s="1" t="s">
        <v>1547</v>
      </c>
      <c r="B510" s="1" t="s">
        <v>1548</v>
      </c>
      <c r="C510" s="1" t="s">
        <v>833</v>
      </c>
      <c r="D510" s="1" t="s">
        <v>340</v>
      </c>
      <c r="E510" s="1" t="s">
        <v>834</v>
      </c>
      <c r="F510" s="1" t="s">
        <v>513</v>
      </c>
      <c r="G510" s="1">
        <v>100</v>
      </c>
    </row>
    <row r="511" spans="1:7">
      <c r="A511" s="1" t="s">
        <v>1549</v>
      </c>
      <c r="B511" s="1" t="s">
        <v>1550</v>
      </c>
      <c r="C511" s="1" t="s">
        <v>436</v>
      </c>
      <c r="D511" s="1" t="s">
        <v>340</v>
      </c>
      <c r="E511" s="1" t="s">
        <v>437</v>
      </c>
      <c r="F511" s="1" t="s">
        <v>565</v>
      </c>
      <c r="G511" s="1">
        <v>200</v>
      </c>
    </row>
    <row r="512" spans="1:7">
      <c r="A512" s="1" t="s">
        <v>1551</v>
      </c>
      <c r="B512" s="1" t="s">
        <v>1552</v>
      </c>
      <c r="C512" s="1" t="s">
        <v>84</v>
      </c>
      <c r="D512" s="1" t="s">
        <v>82</v>
      </c>
      <c r="E512" s="1" t="s">
        <v>1553</v>
      </c>
      <c r="F512" s="1" t="s">
        <v>357</v>
      </c>
      <c r="G512" s="1">
        <v>1000</v>
      </c>
    </row>
    <row r="513" spans="1:7">
      <c r="A513" s="1" t="s">
        <v>1554</v>
      </c>
      <c r="B513" s="1" t="s">
        <v>1555</v>
      </c>
      <c r="C513" s="1" t="s">
        <v>440</v>
      </c>
      <c r="D513" s="1" t="s">
        <v>340</v>
      </c>
      <c r="E513" s="1" t="s">
        <v>1169</v>
      </c>
      <c r="F513" s="1" t="s">
        <v>558</v>
      </c>
      <c r="G513" s="1">
        <v>150</v>
      </c>
    </row>
    <row r="514" spans="1:7">
      <c r="A514" s="1" t="s">
        <v>1556</v>
      </c>
      <c r="B514" s="1" t="s">
        <v>1557</v>
      </c>
      <c r="C514" s="1" t="s">
        <v>1558</v>
      </c>
      <c r="D514" s="1" t="s">
        <v>340</v>
      </c>
      <c r="E514" s="1" t="s">
        <v>1559</v>
      </c>
      <c r="F514" s="1" t="s">
        <v>419</v>
      </c>
      <c r="G514" s="1">
        <v>260</v>
      </c>
    </row>
    <row r="515" spans="1:7">
      <c r="A515" s="1" t="s">
        <v>1560</v>
      </c>
      <c r="B515" s="1" t="s">
        <v>1561</v>
      </c>
      <c r="C515" s="1" t="s">
        <v>798</v>
      </c>
      <c r="D515" s="1" t="s">
        <v>340</v>
      </c>
      <c r="E515" s="1" t="s">
        <v>1562</v>
      </c>
      <c r="F515" s="1" t="s">
        <v>347</v>
      </c>
      <c r="G515" s="1">
        <v>400</v>
      </c>
    </row>
    <row r="516" spans="1:7">
      <c r="A516" s="1" t="s">
        <v>1563</v>
      </c>
      <c r="B516" s="1" t="s">
        <v>1564</v>
      </c>
      <c r="C516" s="1" t="s">
        <v>345</v>
      </c>
      <c r="D516" s="1" t="s">
        <v>340</v>
      </c>
      <c r="E516" s="1" t="s">
        <v>422</v>
      </c>
      <c r="F516" s="1" t="s">
        <v>347</v>
      </c>
      <c r="G516" s="1">
        <v>1400</v>
      </c>
    </row>
    <row r="517" spans="1:7">
      <c r="A517" s="1" t="s">
        <v>1565</v>
      </c>
      <c r="B517" s="1" t="s">
        <v>1124</v>
      </c>
      <c r="C517" s="1" t="s">
        <v>747</v>
      </c>
      <c r="D517" s="1" t="s">
        <v>340</v>
      </c>
      <c r="E517" s="1" t="s">
        <v>748</v>
      </c>
      <c r="F517" s="1" t="s">
        <v>347</v>
      </c>
      <c r="G517" s="1">
        <v>100</v>
      </c>
    </row>
    <row r="518" spans="1:7">
      <c r="A518" s="1" t="s">
        <v>1566</v>
      </c>
      <c r="B518" s="1" t="s">
        <v>1567</v>
      </c>
      <c r="C518" s="1" t="s">
        <v>345</v>
      </c>
      <c r="D518" s="1" t="s">
        <v>340</v>
      </c>
      <c r="E518" s="1" t="s">
        <v>422</v>
      </c>
      <c r="F518" s="1" t="s">
        <v>347</v>
      </c>
      <c r="G518" s="1">
        <v>325</v>
      </c>
    </row>
    <row r="519" spans="1:7">
      <c r="A519" s="1" t="s">
        <v>1568</v>
      </c>
      <c r="B519" s="1" t="s">
        <v>1569</v>
      </c>
      <c r="C519" s="1" t="s">
        <v>345</v>
      </c>
      <c r="D519" s="1" t="s">
        <v>340</v>
      </c>
      <c r="E519" s="1" t="s">
        <v>346</v>
      </c>
      <c r="F519" s="1" t="s">
        <v>347</v>
      </c>
      <c r="G519" s="1">
        <v>4580</v>
      </c>
    </row>
    <row r="520" spans="1:7">
      <c r="A520" s="1" t="s">
        <v>1570</v>
      </c>
      <c r="B520" s="1" t="s">
        <v>1571</v>
      </c>
      <c r="C520" s="1" t="s">
        <v>486</v>
      </c>
      <c r="D520" s="1" t="s">
        <v>340</v>
      </c>
      <c r="E520" s="1" t="s">
        <v>487</v>
      </c>
      <c r="F520" s="1" t="s">
        <v>347</v>
      </c>
      <c r="G520" s="1">
        <v>100</v>
      </c>
    </row>
    <row r="521" spans="1:7">
      <c r="A521" s="1" t="s">
        <v>1572</v>
      </c>
      <c r="B521" s="1" t="s">
        <v>1573</v>
      </c>
      <c r="C521" s="1" t="s">
        <v>345</v>
      </c>
      <c r="D521" s="1" t="s">
        <v>340</v>
      </c>
      <c r="E521" s="1" t="s">
        <v>567</v>
      </c>
      <c r="F521" s="1" t="s">
        <v>347</v>
      </c>
      <c r="G521" s="1">
        <v>230</v>
      </c>
    </row>
    <row r="522" spans="1:7">
      <c r="A522" s="1" t="s">
        <v>1574</v>
      </c>
      <c r="B522" s="1" t="s">
        <v>1575</v>
      </c>
      <c r="C522" s="1" t="s">
        <v>345</v>
      </c>
      <c r="D522" s="1" t="s">
        <v>340</v>
      </c>
      <c r="E522" s="1" t="s">
        <v>422</v>
      </c>
      <c r="F522" s="1" t="s">
        <v>347</v>
      </c>
      <c r="G522" s="1">
        <v>145</v>
      </c>
    </row>
    <row r="523" spans="1:7">
      <c r="A523" s="1" t="s">
        <v>1576</v>
      </c>
      <c r="B523" s="1" t="s">
        <v>1577</v>
      </c>
      <c r="C523" s="1" t="s">
        <v>345</v>
      </c>
      <c r="D523" s="1" t="s">
        <v>340</v>
      </c>
      <c r="E523" s="1" t="s">
        <v>422</v>
      </c>
      <c r="F523" s="1" t="s">
        <v>347</v>
      </c>
      <c r="G523" s="1">
        <v>100</v>
      </c>
    </row>
    <row r="524" spans="1:7">
      <c r="A524" s="1" t="s">
        <v>1578</v>
      </c>
      <c r="B524" s="1" t="s">
        <v>1579</v>
      </c>
      <c r="C524" s="1" t="s">
        <v>723</v>
      </c>
      <c r="D524" s="1" t="s">
        <v>340</v>
      </c>
      <c r="E524" s="1" t="s">
        <v>724</v>
      </c>
      <c r="F524" s="1" t="s">
        <v>364</v>
      </c>
      <c r="G524" s="1">
        <v>250</v>
      </c>
    </row>
    <row r="525" spans="1:7">
      <c r="A525" s="1" t="s">
        <v>1580</v>
      </c>
      <c r="B525" s="1" t="s">
        <v>1581</v>
      </c>
      <c r="C525" s="1" t="s">
        <v>339</v>
      </c>
      <c r="D525" s="1" t="s">
        <v>340</v>
      </c>
      <c r="E525" s="1" t="s">
        <v>471</v>
      </c>
      <c r="F525" s="1" t="s">
        <v>342</v>
      </c>
      <c r="G525" s="1">
        <v>300</v>
      </c>
    </row>
    <row r="526" spans="1:7">
      <c r="A526" s="1" t="s">
        <v>1582</v>
      </c>
      <c r="B526" s="1" t="s">
        <v>1583</v>
      </c>
      <c r="C526" s="1" t="s">
        <v>440</v>
      </c>
      <c r="D526" s="1" t="s">
        <v>340</v>
      </c>
      <c r="E526" s="1" t="s">
        <v>441</v>
      </c>
      <c r="F526" s="1" t="s">
        <v>558</v>
      </c>
      <c r="G526" s="1">
        <v>200</v>
      </c>
    </row>
    <row r="527" spans="1:7">
      <c r="A527" s="1" t="s">
        <v>1584</v>
      </c>
      <c r="B527" s="1" t="s">
        <v>1585</v>
      </c>
      <c r="C527" s="1" t="s">
        <v>339</v>
      </c>
      <c r="D527" s="1" t="s">
        <v>340</v>
      </c>
      <c r="E527" s="1" t="s">
        <v>384</v>
      </c>
      <c r="F527" s="1" t="s">
        <v>342</v>
      </c>
      <c r="G527" s="1">
        <v>270</v>
      </c>
    </row>
    <row r="528" spans="1:7">
      <c r="A528" s="1" t="s">
        <v>242</v>
      </c>
      <c r="B528" s="1" t="s">
        <v>1586</v>
      </c>
      <c r="C528" s="1" t="s">
        <v>666</v>
      </c>
      <c r="D528" s="1" t="s">
        <v>340</v>
      </c>
      <c r="E528" s="1" t="s">
        <v>667</v>
      </c>
      <c r="F528" s="1" t="s">
        <v>558</v>
      </c>
      <c r="G528" s="1">
        <v>300</v>
      </c>
    </row>
    <row r="529" spans="1:7">
      <c r="A529" s="1" t="s">
        <v>1587</v>
      </c>
      <c r="B529" s="1" t="s">
        <v>1588</v>
      </c>
      <c r="C529" s="1" t="s">
        <v>1589</v>
      </c>
      <c r="D529" s="1" t="s">
        <v>1590</v>
      </c>
      <c r="E529" s="1" t="s">
        <v>1591</v>
      </c>
      <c r="F529" s="1" t="s">
        <v>357</v>
      </c>
      <c r="G529" s="1">
        <v>830</v>
      </c>
    </row>
    <row r="530" spans="1:7">
      <c r="A530" s="1" t="s">
        <v>1592</v>
      </c>
      <c r="B530" s="1" t="s">
        <v>1593</v>
      </c>
      <c r="C530" s="1" t="s">
        <v>723</v>
      </c>
      <c r="D530" s="1" t="s">
        <v>340</v>
      </c>
      <c r="E530" s="1" t="s">
        <v>724</v>
      </c>
      <c r="F530" s="1" t="s">
        <v>364</v>
      </c>
      <c r="G530" s="1">
        <v>100</v>
      </c>
    </row>
    <row r="531" spans="1:7">
      <c r="A531" s="1" t="s">
        <v>243</v>
      </c>
      <c r="B531" s="1" t="s">
        <v>1594</v>
      </c>
      <c r="C531" s="1" t="s">
        <v>339</v>
      </c>
      <c r="D531" s="1" t="s">
        <v>340</v>
      </c>
      <c r="E531" s="1" t="s">
        <v>1093</v>
      </c>
      <c r="F531" s="1" t="s">
        <v>342</v>
      </c>
      <c r="G531" s="1">
        <v>110</v>
      </c>
    </row>
    <row r="532" spans="1:7">
      <c r="A532" s="1" t="s">
        <v>1595</v>
      </c>
      <c r="B532" s="1" t="s">
        <v>1596</v>
      </c>
      <c r="C532" s="1" t="s">
        <v>339</v>
      </c>
      <c r="D532" s="1" t="s">
        <v>340</v>
      </c>
      <c r="E532" s="1" t="s">
        <v>390</v>
      </c>
      <c r="F532" s="1" t="s">
        <v>342</v>
      </c>
      <c r="G532" s="1">
        <v>100</v>
      </c>
    </row>
    <row r="533" spans="1:7">
      <c r="A533" s="1" t="s">
        <v>1597</v>
      </c>
      <c r="B533" s="1" t="s">
        <v>872</v>
      </c>
      <c r="C533" s="1" t="s">
        <v>659</v>
      </c>
      <c r="D533" s="1" t="s">
        <v>340</v>
      </c>
      <c r="E533" s="1" t="s">
        <v>660</v>
      </c>
      <c r="F533" s="1" t="s">
        <v>414</v>
      </c>
      <c r="G533" s="1">
        <v>180</v>
      </c>
    </row>
    <row r="534" spans="1:7">
      <c r="A534" s="1" t="s">
        <v>1598</v>
      </c>
      <c r="B534" s="1" t="s">
        <v>1599</v>
      </c>
      <c r="C534" s="1" t="s">
        <v>345</v>
      </c>
      <c r="D534" s="1" t="s">
        <v>340</v>
      </c>
      <c r="E534" s="1" t="s">
        <v>567</v>
      </c>
      <c r="F534" s="1" t="s">
        <v>347</v>
      </c>
      <c r="G534" s="1">
        <v>200</v>
      </c>
    </row>
    <row r="535" spans="1:7">
      <c r="A535" s="1" t="s">
        <v>1600</v>
      </c>
      <c r="B535" s="1" t="s">
        <v>1601</v>
      </c>
      <c r="C535" s="1" t="s">
        <v>558</v>
      </c>
      <c r="D535" s="1" t="s">
        <v>64</v>
      </c>
      <c r="E535" s="1" t="s">
        <v>788</v>
      </c>
      <c r="F535" s="1" t="s">
        <v>351</v>
      </c>
      <c r="G535" s="1">
        <v>180</v>
      </c>
    </row>
    <row r="536" spans="1:7">
      <c r="A536" s="1" t="s">
        <v>1602</v>
      </c>
      <c r="B536" s="1" t="s">
        <v>1603</v>
      </c>
      <c r="C536" s="1" t="s">
        <v>339</v>
      </c>
      <c r="D536" s="1" t="s">
        <v>340</v>
      </c>
      <c r="E536" s="1" t="s">
        <v>341</v>
      </c>
      <c r="F536" s="1" t="s">
        <v>357</v>
      </c>
      <c r="G536" s="1">
        <v>330</v>
      </c>
    </row>
    <row r="537" spans="1:7">
      <c r="A537" s="1" t="s">
        <v>1604</v>
      </c>
      <c r="B537" s="1" t="s">
        <v>1605</v>
      </c>
      <c r="C537" s="1" t="s">
        <v>666</v>
      </c>
      <c r="D537" s="1" t="s">
        <v>340</v>
      </c>
      <c r="E537" s="1" t="s">
        <v>667</v>
      </c>
      <c r="F537" s="1" t="s">
        <v>558</v>
      </c>
      <c r="G537" s="1">
        <v>443</v>
      </c>
    </row>
    <row r="538" spans="1:7">
      <c r="A538" s="1" t="s">
        <v>1606</v>
      </c>
      <c r="B538" s="1" t="s">
        <v>1607</v>
      </c>
      <c r="C538" s="1" t="s">
        <v>362</v>
      </c>
      <c r="D538" s="1" t="s">
        <v>340</v>
      </c>
      <c r="E538" s="1" t="s">
        <v>363</v>
      </c>
      <c r="F538" s="1" t="s">
        <v>364</v>
      </c>
      <c r="G538" s="1">
        <v>160</v>
      </c>
    </row>
    <row r="539" spans="1:7">
      <c r="A539" s="1" t="s">
        <v>1608</v>
      </c>
      <c r="B539" s="1" t="s">
        <v>1609</v>
      </c>
      <c r="C539" s="1" t="s">
        <v>625</v>
      </c>
      <c r="D539" s="1" t="s">
        <v>340</v>
      </c>
      <c r="E539" s="1" t="s">
        <v>626</v>
      </c>
      <c r="F539" s="1" t="s">
        <v>419</v>
      </c>
      <c r="G539" s="1">
        <v>100</v>
      </c>
    </row>
    <row r="540" spans="1:7">
      <c r="A540" s="1" t="s">
        <v>1610</v>
      </c>
      <c r="B540" s="1" t="s">
        <v>1611</v>
      </c>
      <c r="C540" s="1" t="s">
        <v>339</v>
      </c>
      <c r="D540" s="1" t="s">
        <v>340</v>
      </c>
      <c r="E540" s="1" t="s">
        <v>622</v>
      </c>
      <c r="F540" s="1" t="s">
        <v>342</v>
      </c>
      <c r="G540" s="1">
        <v>150</v>
      </c>
    </row>
    <row r="541" spans="1:7">
      <c r="A541" s="1" t="s">
        <v>1612</v>
      </c>
      <c r="B541" s="1" t="s">
        <v>1613</v>
      </c>
      <c r="C541" s="1" t="s">
        <v>412</v>
      </c>
      <c r="D541" s="1" t="s">
        <v>340</v>
      </c>
      <c r="E541" s="1" t="s">
        <v>586</v>
      </c>
      <c r="F541" s="1" t="s">
        <v>414</v>
      </c>
      <c r="G541" s="1">
        <v>105</v>
      </c>
    </row>
    <row r="542" spans="1:7">
      <c r="A542" s="1" t="s">
        <v>1614</v>
      </c>
      <c r="B542" s="1" t="s">
        <v>1615</v>
      </c>
      <c r="C542" s="1" t="s">
        <v>345</v>
      </c>
      <c r="D542" s="1" t="s">
        <v>340</v>
      </c>
      <c r="E542" s="1" t="s">
        <v>346</v>
      </c>
      <c r="F542" s="1" t="s">
        <v>347</v>
      </c>
      <c r="G542" s="1">
        <v>100</v>
      </c>
    </row>
    <row r="543" spans="1:7">
      <c r="A543" s="1" t="s">
        <v>244</v>
      </c>
      <c r="B543" s="1" t="s">
        <v>1616</v>
      </c>
      <c r="C543" s="1" t="s">
        <v>339</v>
      </c>
      <c r="D543" s="1" t="s">
        <v>340</v>
      </c>
      <c r="E543" s="1" t="s">
        <v>384</v>
      </c>
      <c r="F543" s="1" t="s">
        <v>357</v>
      </c>
      <c r="G543" s="1">
        <v>575</v>
      </c>
    </row>
    <row r="544" spans="1:7">
      <c r="A544" s="1" t="s">
        <v>1617</v>
      </c>
      <c r="B544" s="1" t="s">
        <v>1618</v>
      </c>
      <c r="C544" s="1" t="s">
        <v>339</v>
      </c>
      <c r="D544" s="1" t="s">
        <v>340</v>
      </c>
      <c r="E544" s="1" t="s">
        <v>508</v>
      </c>
      <c r="F544" s="1" t="s">
        <v>342</v>
      </c>
      <c r="G544" s="1">
        <v>350</v>
      </c>
    </row>
    <row r="545" spans="1:7">
      <c r="A545" s="1" t="s">
        <v>1619</v>
      </c>
      <c r="B545" s="1" t="s">
        <v>1620</v>
      </c>
      <c r="C545" s="1" t="s">
        <v>362</v>
      </c>
      <c r="D545" s="1" t="s">
        <v>340</v>
      </c>
      <c r="E545" s="1" t="s">
        <v>518</v>
      </c>
      <c r="F545" s="1" t="s">
        <v>364</v>
      </c>
      <c r="G545" s="1">
        <v>188</v>
      </c>
    </row>
    <row r="546" spans="1:7">
      <c r="A546" s="1" t="s">
        <v>245</v>
      </c>
      <c r="B546" s="1" t="s">
        <v>1621</v>
      </c>
      <c r="C546" s="1" t="s">
        <v>412</v>
      </c>
      <c r="D546" s="1" t="s">
        <v>340</v>
      </c>
      <c r="E546" s="1" t="s">
        <v>586</v>
      </c>
      <c r="F546" s="1" t="s">
        <v>414</v>
      </c>
      <c r="G546" s="1">
        <v>125</v>
      </c>
    </row>
    <row r="547" spans="1:7">
      <c r="A547" s="1" t="s">
        <v>1622</v>
      </c>
      <c r="B547" s="1" t="s">
        <v>1512</v>
      </c>
      <c r="C547" s="1" t="s">
        <v>339</v>
      </c>
      <c r="D547" s="1" t="s">
        <v>340</v>
      </c>
      <c r="E547" s="1" t="s">
        <v>376</v>
      </c>
      <c r="F547" s="1" t="s">
        <v>357</v>
      </c>
      <c r="G547" s="1">
        <v>535</v>
      </c>
    </row>
    <row r="548" spans="1:7">
      <c r="A548" s="1" t="s">
        <v>1623</v>
      </c>
      <c r="B548" s="1" t="s">
        <v>1624</v>
      </c>
      <c r="C548" s="1" t="s">
        <v>511</v>
      </c>
      <c r="D548" s="1" t="s">
        <v>340</v>
      </c>
      <c r="E548" s="1" t="s">
        <v>536</v>
      </c>
      <c r="F548" s="1" t="s">
        <v>513</v>
      </c>
      <c r="G548" s="1">
        <v>100</v>
      </c>
    </row>
    <row r="549" spans="1:7">
      <c r="A549" s="1" t="s">
        <v>1625</v>
      </c>
      <c r="B549" s="1" t="s">
        <v>1626</v>
      </c>
      <c r="C549" s="1" t="s">
        <v>339</v>
      </c>
      <c r="D549" s="1" t="s">
        <v>340</v>
      </c>
      <c r="E549" s="1" t="s">
        <v>1052</v>
      </c>
      <c r="F549" s="1" t="s">
        <v>342</v>
      </c>
      <c r="G549" s="1">
        <v>229</v>
      </c>
    </row>
    <row r="550" spans="1:7">
      <c r="A550" s="1" t="s">
        <v>1627</v>
      </c>
      <c r="B550" s="1" t="s">
        <v>1628</v>
      </c>
      <c r="C550" s="1" t="s">
        <v>339</v>
      </c>
      <c r="D550" s="1" t="s">
        <v>340</v>
      </c>
      <c r="E550" s="1" t="s">
        <v>480</v>
      </c>
      <c r="F550" s="1" t="s">
        <v>342</v>
      </c>
      <c r="G550" s="1">
        <v>150</v>
      </c>
    </row>
    <row r="551" spans="1:7">
      <c r="A551" s="1" t="s">
        <v>1629</v>
      </c>
      <c r="B551" s="1" t="s">
        <v>1630</v>
      </c>
      <c r="C551" s="1" t="s">
        <v>339</v>
      </c>
      <c r="D551" s="1" t="s">
        <v>340</v>
      </c>
      <c r="E551" s="1" t="s">
        <v>404</v>
      </c>
      <c r="F551" s="1" t="s">
        <v>342</v>
      </c>
      <c r="G551" s="1">
        <v>300</v>
      </c>
    </row>
    <row r="552" spans="1:7">
      <c r="A552" s="1" t="s">
        <v>1631</v>
      </c>
      <c r="B552" s="1" t="s">
        <v>1632</v>
      </c>
      <c r="C552" s="1" t="s">
        <v>666</v>
      </c>
      <c r="D552" s="1" t="s">
        <v>340</v>
      </c>
      <c r="E552" s="1" t="s">
        <v>667</v>
      </c>
      <c r="F552" s="1" t="s">
        <v>558</v>
      </c>
      <c r="G552" s="1">
        <v>115</v>
      </c>
    </row>
    <row r="553" spans="1:7">
      <c r="A553" s="1" t="s">
        <v>1633</v>
      </c>
      <c r="B553" s="1" t="s">
        <v>1634</v>
      </c>
      <c r="C553" s="1" t="s">
        <v>412</v>
      </c>
      <c r="D553" s="1" t="s">
        <v>340</v>
      </c>
      <c r="E553" s="1" t="s">
        <v>413</v>
      </c>
      <c r="F553" s="1" t="s">
        <v>414</v>
      </c>
      <c r="G553" s="1">
        <v>150</v>
      </c>
    </row>
    <row r="554" spans="1:7">
      <c r="A554" s="1" t="s">
        <v>1635</v>
      </c>
      <c r="B554" s="1" t="s">
        <v>1636</v>
      </c>
      <c r="C554" s="1" t="s">
        <v>440</v>
      </c>
      <c r="D554" s="1" t="s">
        <v>340</v>
      </c>
      <c r="E554" s="1" t="s">
        <v>1169</v>
      </c>
      <c r="F554" s="1" t="s">
        <v>558</v>
      </c>
      <c r="G554" s="1">
        <v>300</v>
      </c>
    </row>
    <row r="555" spans="1:7">
      <c r="A555" s="1" t="s">
        <v>1637</v>
      </c>
      <c r="B555" s="1" t="s">
        <v>1638</v>
      </c>
      <c r="C555" s="1" t="s">
        <v>440</v>
      </c>
      <c r="D555" s="1" t="s">
        <v>340</v>
      </c>
      <c r="E555" s="1" t="s">
        <v>1169</v>
      </c>
      <c r="F555" s="1" t="s">
        <v>558</v>
      </c>
      <c r="G555" s="1">
        <v>300</v>
      </c>
    </row>
    <row r="556" spans="1:7">
      <c r="A556" s="1" t="s">
        <v>1639</v>
      </c>
      <c r="B556" s="1" t="s">
        <v>1640</v>
      </c>
      <c r="C556" s="1" t="s">
        <v>582</v>
      </c>
      <c r="D556" s="1" t="s">
        <v>64</v>
      </c>
      <c r="E556" s="1" t="s">
        <v>583</v>
      </c>
      <c r="F556" s="1" t="s">
        <v>584</v>
      </c>
      <c r="G556" s="1">
        <v>300</v>
      </c>
    </row>
    <row r="557" spans="1:7">
      <c r="A557" s="1" t="s">
        <v>1641</v>
      </c>
      <c r="B557" s="1" t="s">
        <v>1642</v>
      </c>
      <c r="C557" s="1" t="s">
        <v>1643</v>
      </c>
      <c r="D557" s="1" t="s">
        <v>340</v>
      </c>
      <c r="E557" s="1" t="s">
        <v>1644</v>
      </c>
      <c r="F557" s="1" t="s">
        <v>364</v>
      </c>
      <c r="G557" s="1">
        <v>225</v>
      </c>
    </row>
    <row r="558" spans="1:7">
      <c r="A558" s="1" t="s">
        <v>1645</v>
      </c>
      <c r="B558" s="1" t="s">
        <v>1646</v>
      </c>
      <c r="C558" s="1" t="s">
        <v>339</v>
      </c>
      <c r="D558" s="1" t="s">
        <v>340</v>
      </c>
      <c r="E558" s="1" t="s">
        <v>594</v>
      </c>
      <c r="F558" s="1" t="s">
        <v>357</v>
      </c>
      <c r="G558" s="1">
        <v>350</v>
      </c>
    </row>
    <row r="559" spans="1:7">
      <c r="A559" s="1" t="s">
        <v>1647</v>
      </c>
      <c r="B559" s="1" t="s">
        <v>1648</v>
      </c>
      <c r="C559" s="1" t="s">
        <v>582</v>
      </c>
      <c r="D559" s="1" t="s">
        <v>64</v>
      </c>
      <c r="E559" s="1" t="s">
        <v>583</v>
      </c>
      <c r="F559" s="1" t="s">
        <v>584</v>
      </c>
      <c r="G559" s="1">
        <v>210</v>
      </c>
    </row>
    <row r="560" spans="1:7">
      <c r="A560" s="1" t="s">
        <v>1649</v>
      </c>
      <c r="B560" s="1" t="s">
        <v>1650</v>
      </c>
      <c r="C560" s="1" t="s">
        <v>362</v>
      </c>
      <c r="D560" s="1" t="s">
        <v>340</v>
      </c>
      <c r="E560" s="1" t="s">
        <v>363</v>
      </c>
      <c r="F560" s="1" t="s">
        <v>364</v>
      </c>
      <c r="G560" s="1">
        <v>130</v>
      </c>
    </row>
    <row r="561" spans="1:7">
      <c r="A561" s="1" t="s">
        <v>1651</v>
      </c>
      <c r="B561" s="1" t="s">
        <v>1652</v>
      </c>
      <c r="C561" s="1" t="s">
        <v>440</v>
      </c>
      <c r="D561" s="1" t="s">
        <v>340</v>
      </c>
      <c r="E561" s="1" t="s">
        <v>441</v>
      </c>
      <c r="F561" s="1" t="s">
        <v>449</v>
      </c>
      <c r="G561" s="1">
        <v>400</v>
      </c>
    </row>
    <row r="562" spans="1:7">
      <c r="A562" s="1" t="s">
        <v>1653</v>
      </c>
      <c r="B562" s="1" t="s">
        <v>1654</v>
      </c>
      <c r="C562" s="1" t="s">
        <v>339</v>
      </c>
      <c r="D562" s="1" t="s">
        <v>340</v>
      </c>
      <c r="E562" s="1" t="s">
        <v>715</v>
      </c>
      <c r="F562" s="1" t="s">
        <v>342</v>
      </c>
      <c r="G562" s="1">
        <v>115</v>
      </c>
    </row>
    <row r="563" spans="1:7">
      <c r="A563" s="1" t="s">
        <v>1655</v>
      </c>
      <c r="B563" s="1" t="s">
        <v>1656</v>
      </c>
      <c r="C563" s="1" t="s">
        <v>556</v>
      </c>
      <c r="D563" s="1" t="s">
        <v>340</v>
      </c>
      <c r="E563" s="1" t="s">
        <v>557</v>
      </c>
      <c r="F563" s="1" t="s">
        <v>558</v>
      </c>
      <c r="G563" s="1">
        <v>385</v>
      </c>
    </row>
    <row r="564" spans="1:7">
      <c r="A564" s="1" t="s">
        <v>1657</v>
      </c>
      <c r="B564" s="1" t="s">
        <v>1658</v>
      </c>
      <c r="C564" s="1" t="s">
        <v>824</v>
      </c>
      <c r="D564" s="1" t="s">
        <v>340</v>
      </c>
      <c r="E564" s="1" t="s">
        <v>825</v>
      </c>
      <c r="F564" s="1" t="s">
        <v>419</v>
      </c>
      <c r="G564" s="1">
        <v>250</v>
      </c>
    </row>
    <row r="565" spans="1:7">
      <c r="A565" s="1" t="s">
        <v>1659</v>
      </c>
      <c r="B565" s="1" t="s">
        <v>1660</v>
      </c>
      <c r="C565" s="1" t="s">
        <v>412</v>
      </c>
      <c r="D565" s="1" t="s">
        <v>340</v>
      </c>
      <c r="E565" s="1" t="s">
        <v>413</v>
      </c>
      <c r="F565" s="1" t="s">
        <v>414</v>
      </c>
      <c r="G565" s="1">
        <v>120</v>
      </c>
    </row>
    <row r="566" spans="1:7">
      <c r="A566" s="1" t="s">
        <v>1661</v>
      </c>
      <c r="B566" s="1" t="s">
        <v>1662</v>
      </c>
      <c r="C566" s="1" t="s">
        <v>1663</v>
      </c>
      <c r="D566" s="1" t="s">
        <v>1664</v>
      </c>
      <c r="E566" s="1" t="s">
        <v>1665</v>
      </c>
      <c r="F566" s="1" t="s">
        <v>357</v>
      </c>
      <c r="G566" s="1">
        <v>770</v>
      </c>
    </row>
    <row r="567" spans="1:7">
      <c r="A567" s="1" t="s">
        <v>1666</v>
      </c>
      <c r="B567" s="1" t="s">
        <v>1667</v>
      </c>
      <c r="C567" s="1" t="s">
        <v>339</v>
      </c>
      <c r="D567" s="1" t="s">
        <v>340</v>
      </c>
      <c r="E567" s="1" t="s">
        <v>480</v>
      </c>
      <c r="F567" s="1" t="s">
        <v>342</v>
      </c>
      <c r="G567" s="1">
        <v>100</v>
      </c>
    </row>
    <row r="568" spans="1:7">
      <c r="A568" s="1" t="s">
        <v>1668</v>
      </c>
      <c r="B568" s="1" t="s">
        <v>1669</v>
      </c>
      <c r="C568" s="1" t="s">
        <v>339</v>
      </c>
      <c r="D568" s="1" t="s">
        <v>340</v>
      </c>
      <c r="E568" s="1" t="s">
        <v>594</v>
      </c>
      <c r="F568" s="1" t="s">
        <v>357</v>
      </c>
      <c r="G568" s="1">
        <v>500</v>
      </c>
    </row>
    <row r="569" spans="1:7">
      <c r="A569" s="1" t="s">
        <v>1670</v>
      </c>
      <c r="B569" s="1" t="s">
        <v>1671</v>
      </c>
      <c r="C569" s="1" t="s">
        <v>339</v>
      </c>
      <c r="D569" s="1" t="s">
        <v>340</v>
      </c>
      <c r="E569" s="1" t="s">
        <v>376</v>
      </c>
      <c r="F569" s="1" t="s">
        <v>342</v>
      </c>
      <c r="G569" s="1">
        <v>150</v>
      </c>
    </row>
    <row r="570" spans="1:7">
      <c r="A570" s="1" t="s">
        <v>1672</v>
      </c>
      <c r="B570" s="1" t="s">
        <v>1673</v>
      </c>
      <c r="C570" s="1" t="s">
        <v>401</v>
      </c>
      <c r="D570" s="1" t="s">
        <v>340</v>
      </c>
      <c r="E570" s="1" t="s">
        <v>980</v>
      </c>
      <c r="F570" s="1" t="s">
        <v>357</v>
      </c>
      <c r="G570" s="1">
        <v>4700</v>
      </c>
    </row>
    <row r="571" spans="1:7">
      <c r="A571" s="1" t="s">
        <v>1674</v>
      </c>
      <c r="B571" s="1" t="s">
        <v>1675</v>
      </c>
      <c r="C571" s="1" t="s">
        <v>339</v>
      </c>
      <c r="D571" s="1" t="s">
        <v>340</v>
      </c>
      <c r="E571" s="1" t="s">
        <v>384</v>
      </c>
      <c r="F571" s="1" t="s">
        <v>342</v>
      </c>
      <c r="G571" s="1">
        <v>115</v>
      </c>
    </row>
    <row r="572" spans="1:7">
      <c r="A572" s="1" t="s">
        <v>1676</v>
      </c>
      <c r="B572" s="1" t="s">
        <v>1677</v>
      </c>
      <c r="C572" s="1" t="s">
        <v>339</v>
      </c>
      <c r="D572" s="1" t="s">
        <v>340</v>
      </c>
      <c r="E572" s="1" t="s">
        <v>1470</v>
      </c>
      <c r="F572" s="1" t="s">
        <v>342</v>
      </c>
      <c r="G572" s="1">
        <v>950</v>
      </c>
    </row>
    <row r="573" spans="1:7">
      <c r="A573" s="1" t="s">
        <v>1678</v>
      </c>
      <c r="B573" s="1" t="s">
        <v>1679</v>
      </c>
      <c r="C573" s="1" t="s">
        <v>349</v>
      </c>
      <c r="D573" s="1" t="s">
        <v>64</v>
      </c>
      <c r="E573" s="1" t="s">
        <v>350</v>
      </c>
      <c r="F573" s="1" t="s">
        <v>351</v>
      </c>
      <c r="G573" s="1">
        <v>201</v>
      </c>
    </row>
    <row r="574" spans="1:7">
      <c r="A574" s="1" t="s">
        <v>1680</v>
      </c>
      <c r="B574" s="1" t="s">
        <v>1681</v>
      </c>
      <c r="C574" s="1" t="s">
        <v>436</v>
      </c>
      <c r="D574" s="1" t="s">
        <v>340</v>
      </c>
      <c r="E574" s="1" t="s">
        <v>771</v>
      </c>
      <c r="F574" s="1" t="s">
        <v>357</v>
      </c>
      <c r="G574" s="1">
        <v>355</v>
      </c>
    </row>
    <row r="575" spans="1:7">
      <c r="A575" s="1" t="s">
        <v>1682</v>
      </c>
      <c r="B575" s="1" t="s">
        <v>1683</v>
      </c>
      <c r="C575" s="1" t="s">
        <v>339</v>
      </c>
      <c r="D575" s="1" t="s">
        <v>340</v>
      </c>
      <c r="E575" s="1" t="s">
        <v>341</v>
      </c>
      <c r="F575" s="1" t="s">
        <v>342</v>
      </c>
      <c r="G575" s="1">
        <v>160</v>
      </c>
    </row>
    <row r="576" spans="1:7">
      <c r="A576" s="1" t="s">
        <v>1684</v>
      </c>
      <c r="B576" s="1" t="s">
        <v>1685</v>
      </c>
      <c r="C576" s="1" t="s">
        <v>339</v>
      </c>
      <c r="D576" s="1" t="s">
        <v>340</v>
      </c>
      <c r="E576" s="1" t="s">
        <v>677</v>
      </c>
      <c r="F576" s="1" t="s">
        <v>342</v>
      </c>
      <c r="G576" s="1">
        <v>110</v>
      </c>
    </row>
    <row r="577" spans="1:7">
      <c r="A577" s="1" t="s">
        <v>1686</v>
      </c>
      <c r="B577" s="1" t="s">
        <v>1687</v>
      </c>
      <c r="C577" s="1" t="s">
        <v>440</v>
      </c>
      <c r="D577" s="1" t="s">
        <v>340</v>
      </c>
      <c r="E577" s="1" t="s">
        <v>1169</v>
      </c>
      <c r="F577" s="1" t="s">
        <v>558</v>
      </c>
      <c r="G577" s="1">
        <v>248</v>
      </c>
    </row>
    <row r="578" spans="1:7">
      <c r="A578" s="1" t="s">
        <v>1688</v>
      </c>
      <c r="B578" s="1" t="s">
        <v>1689</v>
      </c>
      <c r="C578" s="1" t="s">
        <v>339</v>
      </c>
      <c r="D578" s="1" t="s">
        <v>340</v>
      </c>
      <c r="E578" s="1" t="s">
        <v>480</v>
      </c>
      <c r="F578" s="1" t="s">
        <v>342</v>
      </c>
      <c r="G578" s="1">
        <v>130</v>
      </c>
    </row>
    <row r="579" spans="1:7">
      <c r="A579" s="1" t="s">
        <v>1690</v>
      </c>
      <c r="B579" s="1" t="s">
        <v>1691</v>
      </c>
      <c r="C579" s="1" t="s">
        <v>339</v>
      </c>
      <c r="D579" s="1" t="s">
        <v>340</v>
      </c>
      <c r="E579" s="1" t="s">
        <v>454</v>
      </c>
      <c r="F579" s="1" t="s">
        <v>342</v>
      </c>
      <c r="G579" s="1">
        <v>100</v>
      </c>
    </row>
    <row r="580" spans="1:7">
      <c r="A580" s="1" t="s">
        <v>1692</v>
      </c>
      <c r="B580" s="1" t="s">
        <v>1693</v>
      </c>
      <c r="C580" s="1" t="s">
        <v>339</v>
      </c>
      <c r="D580" s="1" t="s">
        <v>340</v>
      </c>
      <c r="E580" s="1" t="s">
        <v>663</v>
      </c>
      <c r="F580" s="1" t="s">
        <v>342</v>
      </c>
      <c r="G580" s="1">
        <v>157</v>
      </c>
    </row>
    <row r="581" spans="1:7">
      <c r="A581" s="1" t="s">
        <v>1694</v>
      </c>
      <c r="B581" s="1" t="s">
        <v>1695</v>
      </c>
      <c r="C581" s="1" t="s">
        <v>351</v>
      </c>
      <c r="D581" s="1" t="s">
        <v>64</v>
      </c>
      <c r="E581" s="1" t="s">
        <v>490</v>
      </c>
      <c r="F581" s="1" t="s">
        <v>351</v>
      </c>
      <c r="G581" s="1">
        <v>600</v>
      </c>
    </row>
    <row r="582" spans="1:7">
      <c r="A582" s="1" t="s">
        <v>1696</v>
      </c>
      <c r="B582" s="1" t="s">
        <v>1697</v>
      </c>
      <c r="C582" s="1" t="s">
        <v>339</v>
      </c>
      <c r="D582" s="1" t="s">
        <v>340</v>
      </c>
      <c r="E582" s="1" t="s">
        <v>753</v>
      </c>
      <c r="F582" s="1" t="s">
        <v>342</v>
      </c>
      <c r="G582" s="1">
        <v>169</v>
      </c>
    </row>
    <row r="583" spans="1:7">
      <c r="A583" s="1" t="s">
        <v>1698</v>
      </c>
      <c r="B583" s="1" t="s">
        <v>1699</v>
      </c>
      <c r="C583" s="1" t="s">
        <v>339</v>
      </c>
      <c r="D583" s="1" t="s">
        <v>340</v>
      </c>
      <c r="E583" s="1" t="s">
        <v>1700</v>
      </c>
      <c r="F583" s="1" t="s">
        <v>357</v>
      </c>
      <c r="G583" s="1">
        <v>1277</v>
      </c>
    </row>
    <row r="584" spans="1:7">
      <c r="A584" s="1" t="s">
        <v>1701</v>
      </c>
      <c r="B584" s="1" t="s">
        <v>1702</v>
      </c>
      <c r="C584" s="1" t="s">
        <v>339</v>
      </c>
      <c r="D584" s="1" t="s">
        <v>340</v>
      </c>
      <c r="E584" s="1" t="s">
        <v>735</v>
      </c>
      <c r="F584" s="1" t="s">
        <v>342</v>
      </c>
      <c r="G584" s="1">
        <v>225</v>
      </c>
    </row>
    <row r="585" spans="1:7">
      <c r="A585" s="1" t="s">
        <v>1703</v>
      </c>
      <c r="B585" s="1" t="s">
        <v>1704</v>
      </c>
      <c r="C585" s="1" t="s">
        <v>419</v>
      </c>
      <c r="D585" s="1" t="s">
        <v>340</v>
      </c>
      <c r="E585" s="1" t="s">
        <v>603</v>
      </c>
      <c r="F585" s="1" t="s">
        <v>565</v>
      </c>
      <c r="G585" s="1">
        <v>113</v>
      </c>
    </row>
    <row r="586" spans="1:7">
      <c r="A586" s="1" t="s">
        <v>246</v>
      </c>
      <c r="B586" s="1" t="s">
        <v>1705</v>
      </c>
      <c r="C586" s="1" t="s">
        <v>339</v>
      </c>
      <c r="D586" s="1" t="s">
        <v>340</v>
      </c>
      <c r="E586" s="1" t="s">
        <v>809</v>
      </c>
      <c r="F586" s="1" t="s">
        <v>342</v>
      </c>
      <c r="G586" s="1">
        <v>200</v>
      </c>
    </row>
    <row r="587" spans="1:7">
      <c r="A587" s="1" t="s">
        <v>247</v>
      </c>
      <c r="B587" s="1" t="s">
        <v>1706</v>
      </c>
      <c r="C587" s="1" t="s">
        <v>339</v>
      </c>
      <c r="D587" s="1" t="s">
        <v>340</v>
      </c>
      <c r="E587" s="1" t="s">
        <v>677</v>
      </c>
      <c r="F587" s="1" t="s">
        <v>342</v>
      </c>
      <c r="G587" s="1">
        <v>1000</v>
      </c>
    </row>
    <row r="588" spans="1:7">
      <c r="A588" s="1" t="s">
        <v>1707</v>
      </c>
      <c r="B588" s="1" t="s">
        <v>1708</v>
      </c>
      <c r="C588" s="1" t="s">
        <v>362</v>
      </c>
      <c r="D588" s="1" t="s">
        <v>340</v>
      </c>
      <c r="E588" s="1" t="s">
        <v>518</v>
      </c>
      <c r="F588" s="1" t="s">
        <v>364</v>
      </c>
      <c r="G588" s="1">
        <v>227</v>
      </c>
    </row>
    <row r="589" spans="1:7">
      <c r="A589" s="1" t="s">
        <v>1709</v>
      </c>
      <c r="B589" s="1" t="s">
        <v>1710</v>
      </c>
      <c r="C589" s="1" t="s">
        <v>440</v>
      </c>
      <c r="D589" s="1" t="s">
        <v>340</v>
      </c>
      <c r="E589" s="1" t="s">
        <v>441</v>
      </c>
      <c r="F589" s="1" t="s">
        <v>558</v>
      </c>
      <c r="G589" s="1">
        <v>330</v>
      </c>
    </row>
    <row r="590" spans="1:7">
      <c r="A590" s="1" t="s">
        <v>1711</v>
      </c>
      <c r="B590" s="1" t="s">
        <v>1712</v>
      </c>
      <c r="C590" s="1" t="s">
        <v>440</v>
      </c>
      <c r="D590" s="1" t="s">
        <v>340</v>
      </c>
      <c r="E590" s="1" t="s">
        <v>441</v>
      </c>
      <c r="F590" s="1" t="s">
        <v>558</v>
      </c>
      <c r="G590" s="1">
        <v>450</v>
      </c>
    </row>
    <row r="591" spans="1:7">
      <c r="A591" s="1" t="s">
        <v>1713</v>
      </c>
      <c r="B591" s="1" t="s">
        <v>1714</v>
      </c>
      <c r="C591" s="1" t="s">
        <v>440</v>
      </c>
      <c r="D591" s="1" t="s">
        <v>340</v>
      </c>
      <c r="E591" s="1" t="s">
        <v>441</v>
      </c>
      <c r="F591" s="1" t="s">
        <v>558</v>
      </c>
      <c r="G591" s="1">
        <v>192</v>
      </c>
    </row>
    <row r="592" spans="1:7">
      <c r="A592" s="1" t="s">
        <v>1715</v>
      </c>
      <c r="B592" s="1" t="s">
        <v>1716</v>
      </c>
      <c r="C592" s="1" t="s">
        <v>440</v>
      </c>
      <c r="D592" s="1" t="s">
        <v>340</v>
      </c>
      <c r="E592" s="1" t="s">
        <v>441</v>
      </c>
      <c r="F592" s="1" t="s">
        <v>558</v>
      </c>
      <c r="G592" s="1">
        <v>105</v>
      </c>
    </row>
    <row r="593" spans="1:7">
      <c r="A593" s="1" t="s">
        <v>1717</v>
      </c>
      <c r="B593" s="1" t="s">
        <v>1718</v>
      </c>
      <c r="C593" s="1" t="s">
        <v>339</v>
      </c>
      <c r="D593" s="1" t="s">
        <v>340</v>
      </c>
      <c r="E593" s="1" t="s">
        <v>433</v>
      </c>
      <c r="F593" s="1" t="s">
        <v>342</v>
      </c>
      <c r="G593" s="1">
        <v>550</v>
      </c>
    </row>
    <row r="594" spans="1:7">
      <c r="A594" s="1" t="s">
        <v>1719</v>
      </c>
      <c r="B594" s="1" t="s">
        <v>1139</v>
      </c>
      <c r="C594" s="1" t="s">
        <v>440</v>
      </c>
      <c r="D594" s="1" t="s">
        <v>340</v>
      </c>
      <c r="E594" s="1" t="s">
        <v>441</v>
      </c>
      <c r="F594" s="1" t="s">
        <v>558</v>
      </c>
      <c r="G594" s="1">
        <v>150</v>
      </c>
    </row>
    <row r="595" spans="1:7">
      <c r="A595" s="1" t="s">
        <v>1720</v>
      </c>
      <c r="B595" s="1" t="s">
        <v>1721</v>
      </c>
      <c r="C595" s="1" t="s">
        <v>440</v>
      </c>
      <c r="D595" s="1" t="s">
        <v>340</v>
      </c>
      <c r="E595" s="1" t="s">
        <v>885</v>
      </c>
      <c r="F595" s="1" t="s">
        <v>558</v>
      </c>
      <c r="G595" s="1">
        <v>350</v>
      </c>
    </row>
    <row r="596" spans="1:7">
      <c r="A596" s="1" t="s">
        <v>1722</v>
      </c>
      <c r="B596" s="1" t="s">
        <v>1704</v>
      </c>
      <c r="C596" s="1" t="s">
        <v>440</v>
      </c>
      <c r="D596" s="1" t="s">
        <v>340</v>
      </c>
      <c r="E596" s="1" t="s">
        <v>441</v>
      </c>
      <c r="F596" s="1" t="s">
        <v>357</v>
      </c>
      <c r="G596" s="1">
        <v>2410</v>
      </c>
    </row>
    <row r="597" spans="1:7">
      <c r="A597" s="1" t="s">
        <v>1723</v>
      </c>
      <c r="B597" s="1" t="s">
        <v>1724</v>
      </c>
      <c r="C597" s="1" t="s">
        <v>339</v>
      </c>
      <c r="D597" s="1" t="s">
        <v>340</v>
      </c>
      <c r="E597" s="1" t="s">
        <v>341</v>
      </c>
      <c r="F597" s="1" t="s">
        <v>357</v>
      </c>
      <c r="G597" s="1">
        <v>150</v>
      </c>
    </row>
    <row r="598" spans="1:7">
      <c r="A598" s="1" t="s">
        <v>1725</v>
      </c>
      <c r="B598" s="1" t="s">
        <v>1726</v>
      </c>
      <c r="C598" s="1" t="s">
        <v>440</v>
      </c>
      <c r="D598" s="1" t="s">
        <v>340</v>
      </c>
      <c r="E598" s="1" t="s">
        <v>441</v>
      </c>
      <c r="F598" s="1" t="s">
        <v>558</v>
      </c>
      <c r="G598" s="1">
        <v>300</v>
      </c>
    </row>
    <row r="599" spans="1:7">
      <c r="A599" s="1" t="s">
        <v>1727</v>
      </c>
      <c r="B599" s="1" t="s">
        <v>1728</v>
      </c>
      <c r="C599" s="1" t="s">
        <v>918</v>
      </c>
      <c r="D599" s="1" t="s">
        <v>64</v>
      </c>
      <c r="E599" s="1" t="s">
        <v>919</v>
      </c>
      <c r="F599" s="1" t="s">
        <v>533</v>
      </c>
      <c r="G599" s="1">
        <v>350</v>
      </c>
    </row>
    <row r="600" spans="1:7">
      <c r="A600" s="1" t="s">
        <v>1729</v>
      </c>
      <c r="B600" s="1" t="s">
        <v>1730</v>
      </c>
      <c r="C600" s="1" t="s">
        <v>339</v>
      </c>
      <c r="D600" s="1" t="s">
        <v>340</v>
      </c>
      <c r="E600" s="1" t="s">
        <v>1731</v>
      </c>
      <c r="F600" s="1" t="s">
        <v>342</v>
      </c>
      <c r="G600" s="1">
        <v>150</v>
      </c>
    </row>
    <row r="601" spans="1:7">
      <c r="A601" s="1" t="s">
        <v>1732</v>
      </c>
      <c r="B601" s="1" t="s">
        <v>1733</v>
      </c>
      <c r="C601" s="1" t="s">
        <v>1734</v>
      </c>
      <c r="D601" s="1" t="s">
        <v>82</v>
      </c>
      <c r="E601" s="1" t="s">
        <v>1735</v>
      </c>
      <c r="F601" s="1" t="s">
        <v>357</v>
      </c>
      <c r="G601" s="1">
        <v>2175</v>
      </c>
    </row>
    <row r="602" spans="1:7">
      <c r="A602" s="1" t="s">
        <v>1736</v>
      </c>
      <c r="B602" s="1" t="s">
        <v>1737</v>
      </c>
      <c r="C602" s="1" t="s">
        <v>339</v>
      </c>
      <c r="D602" s="1" t="s">
        <v>340</v>
      </c>
      <c r="E602" s="1" t="s">
        <v>404</v>
      </c>
      <c r="F602" s="1" t="s">
        <v>342</v>
      </c>
      <c r="G602" s="1">
        <v>750</v>
      </c>
    </row>
    <row r="603" spans="1:7">
      <c r="A603" s="1" t="s">
        <v>1738</v>
      </c>
      <c r="B603" s="1" t="s">
        <v>1739</v>
      </c>
      <c r="C603" s="1" t="s">
        <v>705</v>
      </c>
      <c r="D603" s="1" t="s">
        <v>340</v>
      </c>
      <c r="E603" s="1" t="s">
        <v>706</v>
      </c>
      <c r="F603" s="1" t="s">
        <v>347</v>
      </c>
      <c r="G603" s="1">
        <v>250</v>
      </c>
    </row>
    <row r="604" spans="1:7">
      <c r="A604" s="1" t="s">
        <v>1740</v>
      </c>
      <c r="B604" s="1" t="s">
        <v>1741</v>
      </c>
      <c r="C604" s="1" t="s">
        <v>339</v>
      </c>
      <c r="D604" s="1" t="s">
        <v>340</v>
      </c>
      <c r="E604" s="1" t="s">
        <v>384</v>
      </c>
      <c r="F604" s="1" t="s">
        <v>357</v>
      </c>
      <c r="G604" s="1">
        <v>1400</v>
      </c>
    </row>
    <row r="605" spans="1:7">
      <c r="A605" s="1" t="s">
        <v>1742</v>
      </c>
      <c r="B605" s="1" t="s">
        <v>1743</v>
      </c>
      <c r="C605" s="1" t="s">
        <v>339</v>
      </c>
      <c r="D605" s="1" t="s">
        <v>340</v>
      </c>
      <c r="E605" s="1" t="s">
        <v>384</v>
      </c>
      <c r="F605" s="1" t="s">
        <v>342</v>
      </c>
      <c r="G605" s="1">
        <v>382</v>
      </c>
    </row>
    <row r="606" spans="1:7">
      <c r="A606" s="1" t="s">
        <v>1744</v>
      </c>
      <c r="B606" s="1" t="s">
        <v>1745</v>
      </c>
      <c r="C606" s="1" t="s">
        <v>1746</v>
      </c>
      <c r="D606" s="1" t="s">
        <v>340</v>
      </c>
      <c r="E606" s="1" t="s">
        <v>1747</v>
      </c>
      <c r="F606" s="1" t="s">
        <v>565</v>
      </c>
      <c r="G606" s="1">
        <v>150</v>
      </c>
    </row>
    <row r="607" spans="1:7">
      <c r="A607" s="1" t="s">
        <v>1748</v>
      </c>
      <c r="B607" s="1" t="s">
        <v>1749</v>
      </c>
      <c r="C607" s="1" t="s">
        <v>339</v>
      </c>
      <c r="D607" s="1" t="s">
        <v>340</v>
      </c>
      <c r="E607" s="1" t="s">
        <v>613</v>
      </c>
      <c r="F607" s="1" t="s">
        <v>342</v>
      </c>
      <c r="G607" s="1">
        <v>186</v>
      </c>
    </row>
    <row r="608" spans="1:7">
      <c r="A608" s="1" t="s">
        <v>1750</v>
      </c>
      <c r="B608" s="1" t="s">
        <v>1751</v>
      </c>
      <c r="C608" s="1" t="s">
        <v>1752</v>
      </c>
      <c r="D608" s="1" t="s">
        <v>340</v>
      </c>
      <c r="E608" s="1" t="s">
        <v>1753</v>
      </c>
      <c r="F608" s="1" t="s">
        <v>526</v>
      </c>
      <c r="G608" s="1">
        <v>285</v>
      </c>
    </row>
    <row r="609" spans="1:7">
      <c r="A609" s="1" t="s">
        <v>1754</v>
      </c>
      <c r="B609" s="1" t="s">
        <v>1755</v>
      </c>
      <c r="C609" s="1" t="s">
        <v>339</v>
      </c>
      <c r="D609" s="1" t="s">
        <v>340</v>
      </c>
      <c r="E609" s="1" t="s">
        <v>594</v>
      </c>
      <c r="F609" s="1" t="s">
        <v>342</v>
      </c>
      <c r="G609" s="1">
        <v>260</v>
      </c>
    </row>
    <row r="610" spans="1:7">
      <c r="A610" s="1" t="s">
        <v>1756</v>
      </c>
      <c r="B610" s="1" t="s">
        <v>1757</v>
      </c>
      <c r="C610" s="1" t="s">
        <v>339</v>
      </c>
      <c r="D610" s="1" t="s">
        <v>340</v>
      </c>
      <c r="E610" s="1" t="s">
        <v>495</v>
      </c>
      <c r="F610" s="1" t="s">
        <v>342</v>
      </c>
      <c r="G610" s="1">
        <v>200</v>
      </c>
    </row>
    <row r="611" spans="1:7">
      <c r="A611" s="1" t="s">
        <v>1758</v>
      </c>
      <c r="B611" s="1" t="s">
        <v>1759</v>
      </c>
      <c r="C611" s="1" t="s">
        <v>339</v>
      </c>
      <c r="D611" s="1" t="s">
        <v>340</v>
      </c>
      <c r="E611" s="1" t="s">
        <v>376</v>
      </c>
      <c r="F611" s="1" t="s">
        <v>342</v>
      </c>
      <c r="G611" s="1">
        <v>100</v>
      </c>
    </row>
    <row r="612" spans="1:7">
      <c r="A612" s="1" t="s">
        <v>1760</v>
      </c>
      <c r="B612" s="1" t="s">
        <v>1761</v>
      </c>
      <c r="C612" s="1" t="s">
        <v>467</v>
      </c>
      <c r="D612" s="1" t="s">
        <v>64</v>
      </c>
      <c r="E612" s="1" t="s">
        <v>468</v>
      </c>
      <c r="F612" s="1" t="s">
        <v>351</v>
      </c>
      <c r="G612" s="1">
        <v>500</v>
      </c>
    </row>
    <row r="613" spans="1:7">
      <c r="A613" s="1" t="s">
        <v>1762</v>
      </c>
      <c r="B613" s="1" t="s">
        <v>1763</v>
      </c>
      <c r="C613" s="1" t="s">
        <v>339</v>
      </c>
      <c r="D613" s="1" t="s">
        <v>340</v>
      </c>
      <c r="E613" s="1" t="s">
        <v>376</v>
      </c>
      <c r="F613" s="1" t="s">
        <v>357</v>
      </c>
      <c r="G613" s="1">
        <v>480</v>
      </c>
    </row>
    <row r="614" spans="1:7">
      <c r="A614" s="1" t="s">
        <v>1764</v>
      </c>
      <c r="B614" s="1" t="s">
        <v>1765</v>
      </c>
      <c r="C614" s="1" t="s">
        <v>511</v>
      </c>
      <c r="D614" s="1" t="s">
        <v>340</v>
      </c>
      <c r="E614" s="1" t="s">
        <v>536</v>
      </c>
      <c r="F614" s="1" t="s">
        <v>513</v>
      </c>
      <c r="G614" s="1">
        <v>100</v>
      </c>
    </row>
    <row r="615" spans="1:7">
      <c r="A615" s="1" t="s">
        <v>1766</v>
      </c>
      <c r="B615" s="1" t="s">
        <v>1767</v>
      </c>
      <c r="C615" s="1" t="s">
        <v>1768</v>
      </c>
      <c r="D615" s="1" t="s">
        <v>340</v>
      </c>
      <c r="E615" s="1" t="s">
        <v>1769</v>
      </c>
      <c r="F615" s="1" t="s">
        <v>347</v>
      </c>
      <c r="G615" s="1">
        <v>200</v>
      </c>
    </row>
    <row r="616" spans="1:7">
      <c r="A616" s="1" t="s">
        <v>1770</v>
      </c>
      <c r="B616" s="1" t="s">
        <v>1771</v>
      </c>
      <c r="C616" s="1" t="s">
        <v>339</v>
      </c>
      <c r="D616" s="1" t="s">
        <v>340</v>
      </c>
      <c r="E616" s="1" t="s">
        <v>674</v>
      </c>
      <c r="F616" s="1" t="s">
        <v>342</v>
      </c>
      <c r="G616" s="1">
        <v>115</v>
      </c>
    </row>
    <row r="617" spans="1:7">
      <c r="A617" s="1" t="s">
        <v>1772</v>
      </c>
      <c r="B617" s="1" t="s">
        <v>1773</v>
      </c>
      <c r="C617" s="1" t="s">
        <v>460</v>
      </c>
      <c r="D617" s="1" t="s">
        <v>340</v>
      </c>
      <c r="E617" s="1" t="s">
        <v>505</v>
      </c>
      <c r="F617" s="1" t="s">
        <v>342</v>
      </c>
      <c r="G617" s="1">
        <v>100</v>
      </c>
    </row>
    <row r="618" spans="1:7">
      <c r="A618" s="1" t="s">
        <v>1774</v>
      </c>
      <c r="B618" s="1" t="s">
        <v>1775</v>
      </c>
      <c r="C618" s="1" t="s">
        <v>447</v>
      </c>
      <c r="D618" s="1" t="s">
        <v>340</v>
      </c>
      <c r="E618" s="1" t="s">
        <v>441</v>
      </c>
      <c r="F618" s="1" t="s">
        <v>449</v>
      </c>
      <c r="G618" s="1">
        <v>140</v>
      </c>
    </row>
    <row r="619" spans="1:7">
      <c r="A619" s="1" t="s">
        <v>1776</v>
      </c>
      <c r="B619" s="1" t="s">
        <v>1777</v>
      </c>
      <c r="C619" s="1" t="s">
        <v>339</v>
      </c>
      <c r="D619" s="1" t="s">
        <v>340</v>
      </c>
      <c r="E619" s="1" t="s">
        <v>471</v>
      </c>
      <c r="F619" s="1" t="s">
        <v>342</v>
      </c>
      <c r="G619" s="1">
        <v>2000</v>
      </c>
    </row>
    <row r="620" spans="1:7">
      <c r="A620" s="1" t="s">
        <v>1778</v>
      </c>
      <c r="B620" s="1" t="s">
        <v>1779</v>
      </c>
      <c r="C620" s="1" t="s">
        <v>467</v>
      </c>
      <c r="D620" s="1" t="s">
        <v>64</v>
      </c>
      <c r="E620" s="1" t="s">
        <v>483</v>
      </c>
      <c r="F620" s="1" t="s">
        <v>351</v>
      </c>
      <c r="G620" s="1">
        <v>475</v>
      </c>
    </row>
    <row r="621" spans="1:7">
      <c r="A621" s="1" t="s">
        <v>1780</v>
      </c>
      <c r="B621" s="1" t="s">
        <v>1781</v>
      </c>
      <c r="C621" s="1" t="s">
        <v>556</v>
      </c>
      <c r="D621" s="1" t="s">
        <v>340</v>
      </c>
      <c r="E621" s="1" t="s">
        <v>557</v>
      </c>
      <c r="F621" s="1" t="s">
        <v>558</v>
      </c>
      <c r="G621" s="1">
        <v>150</v>
      </c>
    </row>
    <row r="622" spans="1:7">
      <c r="A622" s="1" t="s">
        <v>1782</v>
      </c>
      <c r="B622" s="1" t="s">
        <v>1783</v>
      </c>
      <c r="C622" s="1" t="s">
        <v>1784</v>
      </c>
      <c r="D622" s="1" t="s">
        <v>82</v>
      </c>
      <c r="E622" s="1" t="s">
        <v>1785</v>
      </c>
      <c r="F622" s="1" t="s">
        <v>357</v>
      </c>
      <c r="G622" s="1">
        <v>600</v>
      </c>
    </row>
    <row r="623" spans="1:7">
      <c r="A623" s="1" t="s">
        <v>1786</v>
      </c>
      <c r="B623" s="1" t="s">
        <v>1787</v>
      </c>
      <c r="C623" s="1" t="s">
        <v>339</v>
      </c>
      <c r="D623" s="1" t="s">
        <v>340</v>
      </c>
      <c r="E623" s="1" t="s">
        <v>384</v>
      </c>
      <c r="F623" s="1" t="s">
        <v>342</v>
      </c>
      <c r="G623" s="1">
        <v>100</v>
      </c>
    </row>
    <row r="624" spans="1:7">
      <c r="A624" s="1" t="s">
        <v>1788</v>
      </c>
      <c r="B624" s="1" t="s">
        <v>1789</v>
      </c>
      <c r="C624" s="1" t="s">
        <v>412</v>
      </c>
      <c r="D624" s="1" t="s">
        <v>340</v>
      </c>
      <c r="E624" s="1" t="s">
        <v>413</v>
      </c>
      <c r="F624" s="1" t="s">
        <v>414</v>
      </c>
      <c r="G624" s="1">
        <v>200</v>
      </c>
    </row>
    <row r="625" spans="1:7">
      <c r="A625" s="1" t="s">
        <v>248</v>
      </c>
      <c r="B625" s="1" t="s">
        <v>1790</v>
      </c>
      <c r="C625" s="1" t="s">
        <v>467</v>
      </c>
      <c r="D625" s="1" t="s">
        <v>64</v>
      </c>
      <c r="E625" s="1" t="s">
        <v>468</v>
      </c>
      <c r="F625" s="1" t="s">
        <v>351</v>
      </c>
      <c r="G625" s="1">
        <v>570</v>
      </c>
    </row>
    <row r="626" spans="1:7">
      <c r="A626" s="1" t="s">
        <v>248</v>
      </c>
      <c r="B626" s="1" t="s">
        <v>1791</v>
      </c>
      <c r="C626" s="1" t="s">
        <v>918</v>
      </c>
      <c r="D626" s="1" t="s">
        <v>64</v>
      </c>
      <c r="E626" s="1" t="s">
        <v>919</v>
      </c>
      <c r="F626" s="1" t="s">
        <v>357</v>
      </c>
      <c r="G626" s="1">
        <v>1575</v>
      </c>
    </row>
    <row r="627" spans="1:7">
      <c r="A627" s="1" t="s">
        <v>1792</v>
      </c>
      <c r="B627" s="1" t="s">
        <v>1793</v>
      </c>
      <c r="C627" s="1" t="s">
        <v>705</v>
      </c>
      <c r="D627" s="1" t="s">
        <v>340</v>
      </c>
      <c r="E627" s="1" t="s">
        <v>706</v>
      </c>
      <c r="F627" s="1" t="s">
        <v>347</v>
      </c>
      <c r="G627" s="1">
        <v>300</v>
      </c>
    </row>
    <row r="628" spans="1:7">
      <c r="A628" s="1" t="s">
        <v>1794</v>
      </c>
      <c r="B628" s="1" t="s">
        <v>1795</v>
      </c>
      <c r="C628" s="1" t="s">
        <v>345</v>
      </c>
      <c r="D628" s="1" t="s">
        <v>340</v>
      </c>
      <c r="E628" s="1" t="s">
        <v>346</v>
      </c>
      <c r="F628" s="1" t="s">
        <v>347</v>
      </c>
      <c r="G628" s="1">
        <v>200</v>
      </c>
    </row>
    <row r="629" spans="1:7">
      <c r="A629" s="1" t="s">
        <v>1796</v>
      </c>
      <c r="B629" s="1" t="s">
        <v>344</v>
      </c>
      <c r="C629" s="1" t="s">
        <v>397</v>
      </c>
      <c r="D629" s="1" t="s">
        <v>340</v>
      </c>
      <c r="E629" s="1" t="s">
        <v>398</v>
      </c>
      <c r="F629" s="1" t="s">
        <v>342</v>
      </c>
      <c r="G629" s="1">
        <v>150</v>
      </c>
    </row>
    <row r="630" spans="1:7">
      <c r="A630" s="1" t="s">
        <v>1797</v>
      </c>
      <c r="B630" s="1" t="s">
        <v>1002</v>
      </c>
      <c r="C630" s="1" t="s">
        <v>339</v>
      </c>
      <c r="D630" s="1" t="s">
        <v>340</v>
      </c>
      <c r="E630" s="1" t="s">
        <v>629</v>
      </c>
      <c r="F630" s="1" t="s">
        <v>342</v>
      </c>
      <c r="G630" s="1">
        <v>200</v>
      </c>
    </row>
    <row r="631" spans="1:7">
      <c r="A631" s="1" t="s">
        <v>1798</v>
      </c>
      <c r="B631" s="1" t="s">
        <v>1799</v>
      </c>
      <c r="C631" s="1" t="s">
        <v>1334</v>
      </c>
      <c r="D631" s="1" t="s">
        <v>340</v>
      </c>
      <c r="E631" s="1" t="s">
        <v>1800</v>
      </c>
      <c r="F631" s="1" t="s">
        <v>342</v>
      </c>
      <c r="G631" s="1">
        <v>1170</v>
      </c>
    </row>
    <row r="632" spans="1:7">
      <c r="A632" s="1" t="s">
        <v>1801</v>
      </c>
      <c r="B632" s="1" t="s">
        <v>1802</v>
      </c>
      <c r="C632" s="1" t="s">
        <v>339</v>
      </c>
      <c r="D632" s="1" t="s">
        <v>340</v>
      </c>
      <c r="E632" s="1" t="s">
        <v>384</v>
      </c>
      <c r="F632" s="1" t="s">
        <v>342</v>
      </c>
      <c r="G632" s="1">
        <v>750</v>
      </c>
    </row>
    <row r="633" spans="1:7">
      <c r="A633" s="1" t="s">
        <v>1803</v>
      </c>
      <c r="B633" s="1" t="s">
        <v>1804</v>
      </c>
      <c r="C633" s="1" t="s">
        <v>339</v>
      </c>
      <c r="D633" s="1" t="s">
        <v>340</v>
      </c>
      <c r="E633" s="1" t="s">
        <v>384</v>
      </c>
      <c r="F633" s="1" t="s">
        <v>342</v>
      </c>
      <c r="G633" s="1">
        <v>325</v>
      </c>
    </row>
    <row r="634" spans="1:7">
      <c r="A634" s="1" t="s">
        <v>1805</v>
      </c>
      <c r="B634" s="1" t="s">
        <v>1806</v>
      </c>
      <c r="C634" s="1" t="s">
        <v>339</v>
      </c>
      <c r="D634" s="1" t="s">
        <v>340</v>
      </c>
      <c r="E634" s="1" t="s">
        <v>390</v>
      </c>
      <c r="F634" s="1" t="s">
        <v>342</v>
      </c>
      <c r="G634" s="1">
        <v>250</v>
      </c>
    </row>
    <row r="635" spans="1:7">
      <c r="A635" s="1" t="s">
        <v>1807</v>
      </c>
      <c r="B635" s="1" t="s">
        <v>1808</v>
      </c>
      <c r="C635" s="1" t="s">
        <v>401</v>
      </c>
      <c r="D635" s="1" t="s">
        <v>340</v>
      </c>
      <c r="E635" s="1" t="s">
        <v>980</v>
      </c>
      <c r="F635" s="1" t="s">
        <v>342</v>
      </c>
      <c r="G635" s="1">
        <v>100</v>
      </c>
    </row>
    <row r="636" spans="1:7">
      <c r="A636" s="1" t="s">
        <v>1809</v>
      </c>
      <c r="B636" s="1" t="s">
        <v>1810</v>
      </c>
      <c r="C636" s="1" t="s">
        <v>1079</v>
      </c>
      <c r="D636" s="1" t="s">
        <v>1080</v>
      </c>
      <c r="E636" s="1" t="s">
        <v>1811</v>
      </c>
      <c r="F636" s="1" t="s">
        <v>357</v>
      </c>
      <c r="G636" s="1">
        <v>1450</v>
      </c>
    </row>
    <row r="637" spans="1:7">
      <c r="A637" s="1" t="s">
        <v>1812</v>
      </c>
      <c r="B637" s="1" t="s">
        <v>1813</v>
      </c>
      <c r="C637" s="1" t="s">
        <v>339</v>
      </c>
      <c r="D637" s="1" t="s">
        <v>340</v>
      </c>
      <c r="E637" s="1" t="s">
        <v>663</v>
      </c>
      <c r="F637" s="1" t="s">
        <v>342</v>
      </c>
      <c r="G637" s="1">
        <v>250</v>
      </c>
    </row>
    <row r="638" spans="1:7">
      <c r="A638" s="1" t="s">
        <v>1814</v>
      </c>
      <c r="B638" s="1" t="s">
        <v>1815</v>
      </c>
      <c r="C638" s="1" t="s">
        <v>339</v>
      </c>
      <c r="D638" s="1" t="s">
        <v>340</v>
      </c>
      <c r="E638" s="1" t="s">
        <v>480</v>
      </c>
      <c r="F638" s="1" t="s">
        <v>342</v>
      </c>
      <c r="G638" s="1">
        <v>120</v>
      </c>
    </row>
    <row r="639" spans="1:7">
      <c r="A639" s="1" t="s">
        <v>1816</v>
      </c>
      <c r="B639" s="1" t="s">
        <v>1817</v>
      </c>
      <c r="C639" s="1" t="s">
        <v>401</v>
      </c>
      <c r="D639" s="1" t="s">
        <v>340</v>
      </c>
      <c r="E639" s="1" t="s">
        <v>402</v>
      </c>
      <c r="F639" s="1" t="s">
        <v>342</v>
      </c>
      <c r="G639" s="1">
        <v>100</v>
      </c>
    </row>
    <row r="640" spans="1:7">
      <c r="A640" s="1" t="s">
        <v>1818</v>
      </c>
      <c r="B640" s="1" t="s">
        <v>1819</v>
      </c>
      <c r="C640" s="1" t="s">
        <v>440</v>
      </c>
      <c r="D640" s="1" t="s">
        <v>340</v>
      </c>
      <c r="E640" s="1" t="s">
        <v>441</v>
      </c>
      <c r="F640" s="1" t="s">
        <v>558</v>
      </c>
      <c r="G640" s="1">
        <v>700</v>
      </c>
    </row>
    <row r="641" spans="1:7">
      <c r="A641" s="1" t="s">
        <v>1820</v>
      </c>
      <c r="B641" s="1" t="s">
        <v>1821</v>
      </c>
      <c r="C641" s="1" t="s">
        <v>362</v>
      </c>
      <c r="D641" s="1" t="s">
        <v>340</v>
      </c>
      <c r="E641" s="1" t="s">
        <v>518</v>
      </c>
      <c r="F641" s="1" t="s">
        <v>364</v>
      </c>
      <c r="G641" s="1">
        <v>150</v>
      </c>
    </row>
    <row r="642" spans="1:7">
      <c r="A642" s="1" t="s">
        <v>249</v>
      </c>
      <c r="B642" s="1" t="s">
        <v>1822</v>
      </c>
      <c r="C642" s="1" t="s">
        <v>339</v>
      </c>
      <c r="D642" s="1" t="s">
        <v>340</v>
      </c>
      <c r="E642" s="1" t="s">
        <v>508</v>
      </c>
      <c r="F642" s="1" t="s">
        <v>342</v>
      </c>
      <c r="G642" s="1">
        <v>325</v>
      </c>
    </row>
    <row r="643" spans="1:7">
      <c r="A643" s="1" t="s">
        <v>250</v>
      </c>
      <c r="B643" s="1" t="s">
        <v>1823</v>
      </c>
      <c r="C643" s="1" t="s">
        <v>556</v>
      </c>
      <c r="D643" s="1" t="s">
        <v>340</v>
      </c>
      <c r="E643" s="1" t="s">
        <v>557</v>
      </c>
      <c r="F643" s="1" t="s">
        <v>558</v>
      </c>
      <c r="G643" s="1">
        <v>180</v>
      </c>
    </row>
    <row r="644" spans="1:7">
      <c r="A644" s="1" t="s">
        <v>1824</v>
      </c>
      <c r="B644" s="1" t="s">
        <v>1825</v>
      </c>
      <c r="C644" s="1" t="s">
        <v>339</v>
      </c>
      <c r="D644" s="1" t="s">
        <v>340</v>
      </c>
      <c r="E644" s="1" t="s">
        <v>384</v>
      </c>
      <c r="F644" s="1" t="s">
        <v>357</v>
      </c>
      <c r="G644" s="1">
        <v>1600</v>
      </c>
    </row>
    <row r="645" spans="1:7">
      <c r="A645" s="1" t="s">
        <v>1826</v>
      </c>
      <c r="B645" s="1" t="s">
        <v>1827</v>
      </c>
      <c r="C645" s="1" t="s">
        <v>339</v>
      </c>
      <c r="D645" s="1" t="s">
        <v>340</v>
      </c>
      <c r="E645" s="1" t="s">
        <v>1093</v>
      </c>
      <c r="F645" s="1" t="s">
        <v>342</v>
      </c>
      <c r="G645" s="1">
        <v>100</v>
      </c>
    </row>
    <row r="646" spans="1:7">
      <c r="A646" s="1" t="s">
        <v>1828</v>
      </c>
      <c r="B646" s="1" t="s">
        <v>1829</v>
      </c>
      <c r="C646" s="1" t="s">
        <v>339</v>
      </c>
      <c r="D646" s="1" t="s">
        <v>340</v>
      </c>
      <c r="E646" s="1" t="s">
        <v>376</v>
      </c>
      <c r="F646" s="1" t="s">
        <v>342</v>
      </c>
      <c r="G646" s="1">
        <v>125</v>
      </c>
    </row>
    <row r="647" spans="1:7">
      <c r="A647" s="1" t="s">
        <v>1830</v>
      </c>
      <c r="B647" s="1" t="s">
        <v>1831</v>
      </c>
      <c r="C647" s="1" t="s">
        <v>362</v>
      </c>
      <c r="D647" s="1" t="s">
        <v>340</v>
      </c>
      <c r="E647" s="1" t="s">
        <v>430</v>
      </c>
      <c r="F647" s="1" t="s">
        <v>364</v>
      </c>
      <c r="G647" s="1">
        <v>915</v>
      </c>
    </row>
    <row r="648" spans="1:7">
      <c r="A648" s="1" t="s">
        <v>1832</v>
      </c>
      <c r="B648" s="1" t="s">
        <v>1833</v>
      </c>
      <c r="C648" s="1" t="s">
        <v>362</v>
      </c>
      <c r="D648" s="1" t="s">
        <v>340</v>
      </c>
      <c r="E648" s="1" t="s">
        <v>430</v>
      </c>
      <c r="F648" s="1" t="s">
        <v>364</v>
      </c>
      <c r="G648" s="1">
        <v>1650</v>
      </c>
    </row>
    <row r="649" spans="1:7">
      <c r="A649" s="1" t="s">
        <v>1834</v>
      </c>
      <c r="B649" s="1" t="s">
        <v>1835</v>
      </c>
      <c r="C649" s="1" t="s">
        <v>362</v>
      </c>
      <c r="D649" s="1" t="s">
        <v>340</v>
      </c>
      <c r="E649" s="1" t="s">
        <v>430</v>
      </c>
      <c r="F649" s="1" t="s">
        <v>364</v>
      </c>
      <c r="G649" s="1">
        <v>2500</v>
      </c>
    </row>
    <row r="650" spans="1:7">
      <c r="A650" s="1" t="s">
        <v>1836</v>
      </c>
      <c r="B650" s="1" t="s">
        <v>702</v>
      </c>
      <c r="C650" s="1" t="s">
        <v>339</v>
      </c>
      <c r="D650" s="1" t="s">
        <v>340</v>
      </c>
      <c r="E650" s="1" t="s">
        <v>384</v>
      </c>
      <c r="F650" s="1" t="s">
        <v>342</v>
      </c>
      <c r="G650" s="1">
        <v>600</v>
      </c>
    </row>
    <row r="651" spans="1:7">
      <c r="A651" s="1" t="s">
        <v>1837</v>
      </c>
      <c r="B651" s="1" t="s">
        <v>1838</v>
      </c>
      <c r="C651" s="1" t="s">
        <v>460</v>
      </c>
      <c r="D651" s="1" t="s">
        <v>340</v>
      </c>
      <c r="E651" s="1" t="s">
        <v>461</v>
      </c>
      <c r="F651" s="1" t="s">
        <v>342</v>
      </c>
      <c r="G651" s="1">
        <v>250</v>
      </c>
    </row>
    <row r="652" spans="1:7">
      <c r="A652" s="1" t="s">
        <v>1839</v>
      </c>
      <c r="B652" s="1" t="s">
        <v>1840</v>
      </c>
      <c r="C652" s="1" t="s">
        <v>659</v>
      </c>
      <c r="D652" s="1" t="s">
        <v>340</v>
      </c>
      <c r="E652" s="1" t="s">
        <v>660</v>
      </c>
      <c r="F652" s="1" t="s">
        <v>414</v>
      </c>
      <c r="G652" s="1">
        <v>100</v>
      </c>
    </row>
    <row r="653" spans="1:7">
      <c r="A653" s="1" t="s">
        <v>1841</v>
      </c>
      <c r="B653" s="1" t="s">
        <v>1842</v>
      </c>
      <c r="C653" s="1" t="s">
        <v>401</v>
      </c>
      <c r="D653" s="1" t="s">
        <v>340</v>
      </c>
      <c r="E653" s="1" t="s">
        <v>553</v>
      </c>
      <c r="F653" s="1" t="s">
        <v>414</v>
      </c>
      <c r="G653" s="1">
        <v>165</v>
      </c>
    </row>
    <row r="654" spans="1:7">
      <c r="A654" s="1" t="s">
        <v>1843</v>
      </c>
      <c r="B654" s="1" t="s">
        <v>1844</v>
      </c>
      <c r="C654" s="1" t="s">
        <v>362</v>
      </c>
      <c r="D654" s="1" t="s">
        <v>340</v>
      </c>
      <c r="E654" s="1" t="s">
        <v>363</v>
      </c>
      <c r="F654" s="1" t="s">
        <v>364</v>
      </c>
      <c r="G654" s="1">
        <v>100</v>
      </c>
    </row>
    <row r="655" spans="1:7">
      <c r="A655" s="1" t="s">
        <v>251</v>
      </c>
      <c r="B655" s="1" t="s">
        <v>1845</v>
      </c>
      <c r="C655" s="1" t="s">
        <v>1846</v>
      </c>
      <c r="D655" s="1" t="s">
        <v>340</v>
      </c>
      <c r="E655" s="1" t="s">
        <v>1847</v>
      </c>
      <c r="F655" s="1" t="s">
        <v>414</v>
      </c>
      <c r="G655" s="1">
        <v>600</v>
      </c>
    </row>
    <row r="656" spans="1:7">
      <c r="A656" s="1" t="s">
        <v>1848</v>
      </c>
      <c r="B656" s="1" t="s">
        <v>1849</v>
      </c>
      <c r="C656" s="1" t="s">
        <v>339</v>
      </c>
      <c r="D656" s="1" t="s">
        <v>340</v>
      </c>
      <c r="E656" s="1" t="s">
        <v>677</v>
      </c>
      <c r="F656" s="1" t="s">
        <v>342</v>
      </c>
      <c r="G656" s="1">
        <v>135</v>
      </c>
    </row>
    <row r="657" spans="1:7">
      <c r="A657" s="1" t="s">
        <v>1850</v>
      </c>
      <c r="B657" s="1" t="s">
        <v>1851</v>
      </c>
      <c r="C657" s="1" t="s">
        <v>1852</v>
      </c>
      <c r="D657" s="1" t="s">
        <v>82</v>
      </c>
      <c r="E657" s="1" t="s">
        <v>1853</v>
      </c>
      <c r="F657" s="1" t="s">
        <v>357</v>
      </c>
      <c r="G657" s="1">
        <v>600</v>
      </c>
    </row>
    <row r="658" spans="1:7">
      <c r="A658" s="1" t="s">
        <v>1854</v>
      </c>
      <c r="B658" s="1" t="s">
        <v>1855</v>
      </c>
      <c r="C658" s="1" t="s">
        <v>556</v>
      </c>
      <c r="D658" s="1" t="s">
        <v>340</v>
      </c>
      <c r="E658" s="1" t="s">
        <v>557</v>
      </c>
      <c r="F658" s="1" t="s">
        <v>558</v>
      </c>
      <c r="G658" s="1">
        <v>100</v>
      </c>
    </row>
    <row r="659" spans="1:7">
      <c r="A659" s="1" t="s">
        <v>1856</v>
      </c>
      <c r="B659" s="1" t="s">
        <v>1857</v>
      </c>
      <c r="C659" s="1" t="s">
        <v>339</v>
      </c>
      <c r="D659" s="1" t="s">
        <v>340</v>
      </c>
      <c r="E659" s="1" t="s">
        <v>390</v>
      </c>
      <c r="F659" s="1" t="s">
        <v>342</v>
      </c>
      <c r="G659" s="1">
        <v>350</v>
      </c>
    </row>
    <row r="660" spans="1:7">
      <c r="A660" s="1" t="s">
        <v>252</v>
      </c>
      <c r="B660" s="1" t="s">
        <v>1858</v>
      </c>
      <c r="C660" s="1" t="s">
        <v>362</v>
      </c>
      <c r="D660" s="1" t="s">
        <v>340</v>
      </c>
      <c r="E660" s="1" t="s">
        <v>518</v>
      </c>
      <c r="F660" s="1" t="s">
        <v>357</v>
      </c>
      <c r="G660" s="1">
        <v>2010</v>
      </c>
    </row>
    <row r="661" spans="1:7">
      <c r="A661" s="1" t="s">
        <v>253</v>
      </c>
      <c r="B661" s="1" t="s">
        <v>1859</v>
      </c>
      <c r="C661" s="1" t="s">
        <v>362</v>
      </c>
      <c r="D661" s="1" t="s">
        <v>340</v>
      </c>
      <c r="E661" s="1" t="s">
        <v>430</v>
      </c>
      <c r="F661" s="1" t="s">
        <v>364</v>
      </c>
      <c r="G661" s="1">
        <v>158</v>
      </c>
    </row>
    <row r="662" spans="1:7">
      <c r="A662" s="1" t="s">
        <v>1860</v>
      </c>
      <c r="B662" s="1" t="s">
        <v>1861</v>
      </c>
      <c r="C662" s="1" t="s">
        <v>339</v>
      </c>
      <c r="D662" s="1" t="s">
        <v>340</v>
      </c>
      <c r="E662" s="1" t="s">
        <v>677</v>
      </c>
      <c r="F662" s="1" t="s">
        <v>342</v>
      </c>
      <c r="G662" s="1">
        <v>100</v>
      </c>
    </row>
    <row r="663" spans="1:7">
      <c r="A663" s="1" t="s">
        <v>1862</v>
      </c>
      <c r="B663" s="1" t="s">
        <v>1863</v>
      </c>
      <c r="C663" s="1" t="s">
        <v>440</v>
      </c>
      <c r="D663" s="1" t="s">
        <v>340</v>
      </c>
      <c r="E663" s="1" t="s">
        <v>441</v>
      </c>
      <c r="F663" s="1" t="s">
        <v>558</v>
      </c>
      <c r="G663" s="1">
        <v>100</v>
      </c>
    </row>
    <row r="664" spans="1:7">
      <c r="A664" s="1" t="s">
        <v>1864</v>
      </c>
      <c r="B664" s="1" t="s">
        <v>1865</v>
      </c>
      <c r="C664" s="1" t="s">
        <v>460</v>
      </c>
      <c r="D664" s="1" t="s">
        <v>340</v>
      </c>
      <c r="E664" s="1" t="s">
        <v>461</v>
      </c>
      <c r="F664" s="1" t="s">
        <v>342</v>
      </c>
      <c r="G664" s="1">
        <v>300</v>
      </c>
    </row>
    <row r="665" spans="1:7">
      <c r="A665" s="1" t="s">
        <v>1866</v>
      </c>
      <c r="B665" s="1" t="s">
        <v>1867</v>
      </c>
      <c r="C665" s="1" t="s">
        <v>362</v>
      </c>
      <c r="D665" s="1" t="s">
        <v>340</v>
      </c>
      <c r="E665" s="1" t="s">
        <v>430</v>
      </c>
      <c r="F665" s="1" t="s">
        <v>364</v>
      </c>
      <c r="G665" s="1">
        <v>175</v>
      </c>
    </row>
    <row r="666" spans="1:7">
      <c r="A666" s="1" t="s">
        <v>1868</v>
      </c>
      <c r="B666" s="1" t="s">
        <v>1869</v>
      </c>
      <c r="C666" s="1" t="s">
        <v>339</v>
      </c>
      <c r="D666" s="1" t="s">
        <v>340</v>
      </c>
      <c r="E666" s="1" t="s">
        <v>390</v>
      </c>
      <c r="F666" s="1" t="s">
        <v>342</v>
      </c>
      <c r="G666" s="1">
        <v>150</v>
      </c>
    </row>
    <row r="667" spans="1:7">
      <c r="A667" s="1" t="s">
        <v>1870</v>
      </c>
      <c r="B667" s="1" t="s">
        <v>1871</v>
      </c>
      <c r="C667" s="1" t="s">
        <v>339</v>
      </c>
      <c r="D667" s="1" t="s">
        <v>340</v>
      </c>
      <c r="E667" s="1" t="s">
        <v>480</v>
      </c>
      <c r="F667" s="1" t="s">
        <v>342</v>
      </c>
      <c r="G667" s="1">
        <v>119</v>
      </c>
    </row>
    <row r="668" spans="1:7">
      <c r="A668" s="1" t="s">
        <v>1872</v>
      </c>
      <c r="B668" s="1" t="s">
        <v>1873</v>
      </c>
      <c r="C668" s="1" t="s">
        <v>339</v>
      </c>
      <c r="D668" s="1" t="s">
        <v>340</v>
      </c>
      <c r="E668" s="1" t="s">
        <v>677</v>
      </c>
      <c r="F668" s="1" t="s">
        <v>342</v>
      </c>
      <c r="G668" s="1">
        <v>180</v>
      </c>
    </row>
    <row r="669" spans="1:7">
      <c r="A669" s="1" t="s">
        <v>1874</v>
      </c>
      <c r="B669" s="1" t="s">
        <v>1875</v>
      </c>
      <c r="C669" s="1" t="s">
        <v>339</v>
      </c>
      <c r="D669" s="1" t="s">
        <v>340</v>
      </c>
      <c r="E669" s="1" t="s">
        <v>783</v>
      </c>
      <c r="F669" s="1" t="s">
        <v>342</v>
      </c>
      <c r="G669" s="1">
        <v>250</v>
      </c>
    </row>
    <row r="670" spans="1:7">
      <c r="A670" s="1" t="s">
        <v>1876</v>
      </c>
      <c r="B670" s="1" t="s">
        <v>1877</v>
      </c>
      <c r="C670" s="1" t="s">
        <v>775</v>
      </c>
      <c r="D670" s="1" t="s">
        <v>64</v>
      </c>
      <c r="E670" s="1" t="s">
        <v>1527</v>
      </c>
      <c r="F670" s="1" t="s">
        <v>775</v>
      </c>
      <c r="G670" s="1">
        <v>270</v>
      </c>
    </row>
    <row r="671" spans="1:7">
      <c r="A671" s="1" t="s">
        <v>1878</v>
      </c>
      <c r="B671" s="1" t="s">
        <v>1879</v>
      </c>
      <c r="C671" s="1" t="s">
        <v>339</v>
      </c>
      <c r="D671" s="1" t="s">
        <v>340</v>
      </c>
      <c r="E671" s="1" t="s">
        <v>384</v>
      </c>
      <c r="F671" s="1" t="s">
        <v>342</v>
      </c>
      <c r="G671" s="1">
        <v>130</v>
      </c>
    </row>
    <row r="672" spans="1:7">
      <c r="A672" s="1" t="s">
        <v>1880</v>
      </c>
      <c r="B672" s="1" t="s">
        <v>1881</v>
      </c>
      <c r="C672" s="1" t="s">
        <v>339</v>
      </c>
      <c r="D672" s="1" t="s">
        <v>340</v>
      </c>
      <c r="E672" s="1" t="s">
        <v>384</v>
      </c>
      <c r="F672" s="1" t="s">
        <v>342</v>
      </c>
      <c r="G672" s="1">
        <v>150</v>
      </c>
    </row>
    <row r="673" spans="1:7">
      <c r="A673" s="1" t="s">
        <v>1882</v>
      </c>
      <c r="B673" s="1" t="s">
        <v>1883</v>
      </c>
      <c r="C673" s="1" t="s">
        <v>339</v>
      </c>
      <c r="D673" s="1" t="s">
        <v>340</v>
      </c>
      <c r="E673" s="1" t="s">
        <v>384</v>
      </c>
      <c r="F673" s="1" t="s">
        <v>342</v>
      </c>
      <c r="G673" s="1">
        <v>100</v>
      </c>
    </row>
    <row r="674" spans="1:7">
      <c r="A674" s="1" t="s">
        <v>254</v>
      </c>
      <c r="B674" s="1" t="s">
        <v>1884</v>
      </c>
      <c r="C674" s="1" t="s">
        <v>775</v>
      </c>
      <c r="D674" s="1" t="s">
        <v>64</v>
      </c>
      <c r="E674" s="1" t="s">
        <v>1396</v>
      </c>
      <c r="F674" s="1" t="s">
        <v>775</v>
      </c>
      <c r="G674" s="1">
        <v>250</v>
      </c>
    </row>
    <row r="675" spans="1:7">
      <c r="A675" s="1" t="s">
        <v>1885</v>
      </c>
      <c r="B675" s="1" t="s">
        <v>1886</v>
      </c>
      <c r="C675" s="1" t="s">
        <v>858</v>
      </c>
      <c r="D675" s="1" t="s">
        <v>340</v>
      </c>
      <c r="E675" s="1" t="s">
        <v>859</v>
      </c>
      <c r="F675" s="1" t="s">
        <v>513</v>
      </c>
      <c r="G675" s="1">
        <v>554</v>
      </c>
    </row>
    <row r="676" spans="1:7">
      <c r="A676" s="1" t="s">
        <v>1887</v>
      </c>
      <c r="B676" s="1" t="s">
        <v>1888</v>
      </c>
      <c r="C676" s="1" t="s">
        <v>339</v>
      </c>
      <c r="D676" s="1" t="s">
        <v>340</v>
      </c>
      <c r="E676" s="1" t="s">
        <v>341</v>
      </c>
      <c r="F676" s="1" t="s">
        <v>342</v>
      </c>
      <c r="G676" s="1">
        <v>110</v>
      </c>
    </row>
    <row r="677" spans="1:7">
      <c r="A677" s="1" t="s">
        <v>1889</v>
      </c>
      <c r="B677" s="1" t="s">
        <v>1890</v>
      </c>
      <c r="C677" s="1" t="s">
        <v>339</v>
      </c>
      <c r="D677" s="1" t="s">
        <v>340</v>
      </c>
      <c r="E677" s="1" t="s">
        <v>384</v>
      </c>
      <c r="F677" s="1" t="s">
        <v>342</v>
      </c>
      <c r="G677" s="1">
        <v>400</v>
      </c>
    </row>
    <row r="678" spans="1:7">
      <c r="A678" s="1" t="s">
        <v>1891</v>
      </c>
      <c r="B678" s="1" t="s">
        <v>1892</v>
      </c>
      <c r="C678" s="1" t="s">
        <v>339</v>
      </c>
      <c r="D678" s="1" t="s">
        <v>340</v>
      </c>
      <c r="E678" s="1" t="s">
        <v>715</v>
      </c>
      <c r="F678" s="1" t="s">
        <v>357</v>
      </c>
      <c r="G678" s="1">
        <v>400</v>
      </c>
    </row>
    <row r="679" spans="1:7">
      <c r="A679" s="1" t="s">
        <v>1893</v>
      </c>
      <c r="B679" s="1" t="s">
        <v>1894</v>
      </c>
      <c r="C679" s="1" t="s">
        <v>339</v>
      </c>
      <c r="D679" s="1" t="s">
        <v>340</v>
      </c>
      <c r="E679" s="1" t="s">
        <v>577</v>
      </c>
      <c r="F679" s="1" t="s">
        <v>342</v>
      </c>
      <c r="G679" s="1">
        <v>105</v>
      </c>
    </row>
    <row r="680" spans="1:7">
      <c r="A680" s="1" t="s">
        <v>1895</v>
      </c>
      <c r="B680" s="1" t="s">
        <v>1896</v>
      </c>
      <c r="C680" s="1" t="s">
        <v>397</v>
      </c>
      <c r="D680" s="1" t="s">
        <v>340</v>
      </c>
      <c r="E680" s="1" t="s">
        <v>398</v>
      </c>
      <c r="F680" s="1" t="s">
        <v>342</v>
      </c>
      <c r="G680" s="1">
        <v>100</v>
      </c>
    </row>
    <row r="681" spans="1:7">
      <c r="A681" s="1" t="s">
        <v>1897</v>
      </c>
      <c r="B681" s="1" t="s">
        <v>1898</v>
      </c>
      <c r="C681" s="1" t="s">
        <v>339</v>
      </c>
      <c r="D681" s="1" t="s">
        <v>340</v>
      </c>
      <c r="E681" s="1" t="s">
        <v>613</v>
      </c>
      <c r="F681" s="1" t="s">
        <v>342</v>
      </c>
      <c r="G681" s="1">
        <v>707</v>
      </c>
    </row>
    <row r="682" spans="1:7">
      <c r="A682" s="1" t="s">
        <v>1899</v>
      </c>
      <c r="B682" s="1" t="s">
        <v>1900</v>
      </c>
      <c r="C682" s="1" t="s">
        <v>339</v>
      </c>
      <c r="D682" s="1" t="s">
        <v>340</v>
      </c>
      <c r="E682" s="1" t="s">
        <v>594</v>
      </c>
      <c r="F682" s="1" t="s">
        <v>342</v>
      </c>
      <c r="G682" s="1">
        <v>216</v>
      </c>
    </row>
    <row r="683" spans="1:7">
      <c r="A683" s="1" t="s">
        <v>1901</v>
      </c>
      <c r="B683" s="1" t="s">
        <v>1902</v>
      </c>
      <c r="C683" s="1" t="s">
        <v>339</v>
      </c>
      <c r="D683" s="1" t="s">
        <v>340</v>
      </c>
      <c r="E683" s="1" t="s">
        <v>471</v>
      </c>
      <c r="F683" s="1" t="s">
        <v>342</v>
      </c>
      <c r="G683" s="1">
        <v>1000</v>
      </c>
    </row>
    <row r="684" spans="1:7">
      <c r="A684" s="1" t="s">
        <v>1903</v>
      </c>
      <c r="B684" s="1" t="s">
        <v>1904</v>
      </c>
      <c r="C684" s="1" t="s">
        <v>339</v>
      </c>
      <c r="D684" s="1" t="s">
        <v>340</v>
      </c>
      <c r="E684" s="1" t="s">
        <v>677</v>
      </c>
      <c r="F684" s="1" t="s">
        <v>342</v>
      </c>
      <c r="G684" s="1">
        <v>294</v>
      </c>
    </row>
    <row r="685" spans="1:7">
      <c r="A685" s="1" t="s">
        <v>255</v>
      </c>
      <c r="B685" s="1" t="s">
        <v>1905</v>
      </c>
      <c r="C685" s="1" t="s">
        <v>362</v>
      </c>
      <c r="D685" s="1" t="s">
        <v>340</v>
      </c>
      <c r="E685" s="1" t="s">
        <v>430</v>
      </c>
      <c r="F685" s="1" t="s">
        <v>364</v>
      </c>
      <c r="G685" s="1">
        <v>500</v>
      </c>
    </row>
    <row r="686" spans="1:7">
      <c r="A686" s="1" t="s">
        <v>1906</v>
      </c>
      <c r="B686" s="1" t="s">
        <v>1907</v>
      </c>
      <c r="C686" s="1" t="s">
        <v>339</v>
      </c>
      <c r="D686" s="1" t="s">
        <v>340</v>
      </c>
      <c r="E686" s="1" t="s">
        <v>454</v>
      </c>
      <c r="F686" s="1" t="s">
        <v>342</v>
      </c>
      <c r="G686" s="1">
        <v>100</v>
      </c>
    </row>
    <row r="687" spans="1:7">
      <c r="A687" s="1" t="s">
        <v>1908</v>
      </c>
      <c r="B687" s="1" t="s">
        <v>1909</v>
      </c>
      <c r="C687" s="1" t="s">
        <v>687</v>
      </c>
      <c r="D687" s="1" t="s">
        <v>340</v>
      </c>
      <c r="E687" s="1" t="s">
        <v>688</v>
      </c>
      <c r="F687" s="1" t="s">
        <v>347</v>
      </c>
      <c r="G687" s="1">
        <v>125</v>
      </c>
    </row>
    <row r="688" spans="1:7">
      <c r="A688" s="1" t="s">
        <v>1910</v>
      </c>
      <c r="B688" s="1" t="s">
        <v>1911</v>
      </c>
      <c r="C688" s="1" t="s">
        <v>447</v>
      </c>
      <c r="D688" s="1" t="s">
        <v>340</v>
      </c>
      <c r="E688" s="1" t="s">
        <v>448</v>
      </c>
      <c r="F688" s="1" t="s">
        <v>449</v>
      </c>
      <c r="G688" s="1">
        <v>178</v>
      </c>
    </row>
    <row r="689" spans="1:7">
      <c r="A689" s="1" t="s">
        <v>1912</v>
      </c>
      <c r="B689" s="1" t="s">
        <v>1913</v>
      </c>
      <c r="C689" s="1" t="s">
        <v>339</v>
      </c>
      <c r="D689" s="1" t="s">
        <v>340</v>
      </c>
      <c r="E689" s="1" t="s">
        <v>474</v>
      </c>
      <c r="F689" s="1" t="s">
        <v>357</v>
      </c>
      <c r="G689" s="1">
        <v>100</v>
      </c>
    </row>
    <row r="690" spans="1:7">
      <c r="A690" s="1" t="s">
        <v>256</v>
      </c>
      <c r="B690" s="1" t="s">
        <v>1914</v>
      </c>
      <c r="C690" s="1" t="s">
        <v>440</v>
      </c>
      <c r="D690" s="1" t="s">
        <v>340</v>
      </c>
      <c r="E690" s="1" t="s">
        <v>441</v>
      </c>
      <c r="F690" s="1" t="s">
        <v>558</v>
      </c>
      <c r="G690" s="1">
        <v>160</v>
      </c>
    </row>
    <row r="691" spans="1:7">
      <c r="A691" s="1" t="s">
        <v>1915</v>
      </c>
      <c r="B691" s="1" t="s">
        <v>1916</v>
      </c>
      <c r="C691" s="1" t="s">
        <v>339</v>
      </c>
      <c r="D691" s="1" t="s">
        <v>340</v>
      </c>
      <c r="E691" s="1" t="s">
        <v>480</v>
      </c>
      <c r="F691" s="1" t="s">
        <v>342</v>
      </c>
      <c r="G691" s="1">
        <v>100</v>
      </c>
    </row>
    <row r="692" spans="1:7">
      <c r="A692" s="1" t="s">
        <v>1917</v>
      </c>
      <c r="B692" s="1" t="s">
        <v>1918</v>
      </c>
      <c r="C692" s="1" t="s">
        <v>349</v>
      </c>
      <c r="D692" s="1" t="s">
        <v>64</v>
      </c>
      <c r="E692" s="1" t="s">
        <v>350</v>
      </c>
      <c r="F692" s="1" t="s">
        <v>351</v>
      </c>
      <c r="G692" s="1">
        <v>100</v>
      </c>
    </row>
    <row r="693" spans="1:7">
      <c r="A693" s="1" t="s">
        <v>1919</v>
      </c>
      <c r="B693" s="1" t="s">
        <v>1920</v>
      </c>
      <c r="C693" s="1" t="s">
        <v>440</v>
      </c>
      <c r="D693" s="1" t="s">
        <v>340</v>
      </c>
      <c r="E693" s="1" t="s">
        <v>441</v>
      </c>
      <c r="F693" s="1" t="s">
        <v>558</v>
      </c>
      <c r="G693" s="1">
        <v>206</v>
      </c>
    </row>
    <row r="694" spans="1:7">
      <c r="A694" s="1" t="s">
        <v>1921</v>
      </c>
      <c r="B694" s="1" t="s">
        <v>1922</v>
      </c>
      <c r="C694" s="1" t="s">
        <v>1923</v>
      </c>
      <c r="D694" s="1" t="s">
        <v>87</v>
      </c>
      <c r="E694" s="1" t="s">
        <v>1924</v>
      </c>
      <c r="F694" s="1" t="s">
        <v>357</v>
      </c>
      <c r="G694" s="1">
        <v>462</v>
      </c>
    </row>
    <row r="695" spans="1:7">
      <c r="A695" s="1" t="s">
        <v>1925</v>
      </c>
      <c r="B695" s="1" t="s">
        <v>1926</v>
      </c>
      <c r="C695" s="1" t="s">
        <v>339</v>
      </c>
      <c r="D695" s="1" t="s">
        <v>340</v>
      </c>
      <c r="E695" s="1" t="s">
        <v>341</v>
      </c>
      <c r="F695" s="1" t="s">
        <v>342</v>
      </c>
      <c r="G695" s="1">
        <v>100</v>
      </c>
    </row>
    <row r="696" spans="1:7">
      <c r="A696" s="1" t="s">
        <v>1927</v>
      </c>
      <c r="B696" s="1" t="s">
        <v>1928</v>
      </c>
      <c r="C696" s="1" t="s">
        <v>339</v>
      </c>
      <c r="D696" s="1" t="s">
        <v>340</v>
      </c>
      <c r="E696" s="1" t="s">
        <v>677</v>
      </c>
      <c r="F696" s="1" t="s">
        <v>342</v>
      </c>
      <c r="G696" s="1">
        <v>266</v>
      </c>
    </row>
    <row r="697" spans="1:7">
      <c r="A697" s="1" t="s">
        <v>1929</v>
      </c>
      <c r="B697" s="1" t="s">
        <v>1930</v>
      </c>
      <c r="C697" s="1" t="s">
        <v>1931</v>
      </c>
      <c r="D697" s="1" t="s">
        <v>340</v>
      </c>
      <c r="E697" s="1" t="s">
        <v>1932</v>
      </c>
      <c r="F697" s="1" t="s">
        <v>357</v>
      </c>
      <c r="G697" s="1">
        <v>150</v>
      </c>
    </row>
    <row r="698" spans="1:7">
      <c r="A698" s="1" t="s">
        <v>1933</v>
      </c>
      <c r="B698" s="1" t="s">
        <v>1934</v>
      </c>
      <c r="C698" s="1" t="s">
        <v>556</v>
      </c>
      <c r="D698" s="1" t="s">
        <v>340</v>
      </c>
      <c r="E698" s="1" t="s">
        <v>557</v>
      </c>
      <c r="F698" s="1" t="s">
        <v>558</v>
      </c>
      <c r="G698" s="1">
        <v>350</v>
      </c>
    </row>
    <row r="699" spans="1:7">
      <c r="A699" s="1" t="s">
        <v>1935</v>
      </c>
      <c r="B699" s="1" t="s">
        <v>1936</v>
      </c>
      <c r="C699" s="1" t="s">
        <v>858</v>
      </c>
      <c r="D699" s="1" t="s">
        <v>340</v>
      </c>
      <c r="E699" s="1" t="s">
        <v>883</v>
      </c>
      <c r="F699" s="1" t="s">
        <v>357</v>
      </c>
      <c r="G699" s="1">
        <v>100</v>
      </c>
    </row>
    <row r="700" spans="1:7">
      <c r="A700" s="1" t="s">
        <v>1937</v>
      </c>
      <c r="B700" s="1" t="s">
        <v>1938</v>
      </c>
      <c r="C700" s="1" t="s">
        <v>339</v>
      </c>
      <c r="D700" s="1" t="s">
        <v>340</v>
      </c>
      <c r="E700" s="1" t="s">
        <v>830</v>
      </c>
      <c r="F700" s="1" t="s">
        <v>342</v>
      </c>
      <c r="G700" s="1">
        <v>100</v>
      </c>
    </row>
    <row r="701" spans="1:7">
      <c r="A701" s="1" t="s">
        <v>257</v>
      </c>
      <c r="B701" s="1" t="s">
        <v>1939</v>
      </c>
      <c r="C701" s="1" t="s">
        <v>339</v>
      </c>
      <c r="D701" s="1" t="s">
        <v>340</v>
      </c>
      <c r="E701" s="1" t="s">
        <v>622</v>
      </c>
      <c r="F701" s="1" t="s">
        <v>342</v>
      </c>
      <c r="G701" s="1">
        <v>100</v>
      </c>
    </row>
    <row r="702" spans="1:7">
      <c r="A702" s="1" t="s">
        <v>1940</v>
      </c>
      <c r="B702" s="1" t="s">
        <v>1941</v>
      </c>
      <c r="C702" s="1" t="s">
        <v>339</v>
      </c>
      <c r="D702" s="1" t="s">
        <v>340</v>
      </c>
      <c r="E702" s="1" t="s">
        <v>674</v>
      </c>
      <c r="F702" s="1" t="s">
        <v>342</v>
      </c>
      <c r="G702" s="1">
        <v>250</v>
      </c>
    </row>
    <row r="703" spans="1:7">
      <c r="A703" s="1" t="s">
        <v>1942</v>
      </c>
      <c r="B703" s="1" t="s">
        <v>1943</v>
      </c>
      <c r="C703" s="1" t="s">
        <v>339</v>
      </c>
      <c r="D703" s="1" t="s">
        <v>340</v>
      </c>
      <c r="E703" s="1" t="s">
        <v>384</v>
      </c>
      <c r="F703" s="1" t="s">
        <v>357</v>
      </c>
      <c r="G703" s="1">
        <v>2545</v>
      </c>
    </row>
    <row r="704" spans="1:7">
      <c r="A704" s="1" t="s">
        <v>1944</v>
      </c>
      <c r="B704" s="1" t="s">
        <v>1945</v>
      </c>
      <c r="C704" s="1" t="s">
        <v>339</v>
      </c>
      <c r="D704" s="1" t="s">
        <v>340</v>
      </c>
      <c r="E704" s="1" t="s">
        <v>830</v>
      </c>
      <c r="F704" s="1" t="s">
        <v>342</v>
      </c>
      <c r="G704" s="1">
        <v>100</v>
      </c>
    </row>
    <row r="705" spans="1:7">
      <c r="A705" s="1" t="s">
        <v>1946</v>
      </c>
      <c r="B705" s="1" t="s">
        <v>1947</v>
      </c>
      <c r="C705" s="1" t="s">
        <v>89</v>
      </c>
      <c r="D705" s="1" t="s">
        <v>340</v>
      </c>
      <c r="E705" s="1" t="s">
        <v>1021</v>
      </c>
      <c r="F705" s="1" t="s">
        <v>381</v>
      </c>
      <c r="G705" s="1">
        <v>100</v>
      </c>
    </row>
    <row r="706" spans="1:7">
      <c r="A706" s="1" t="s">
        <v>1948</v>
      </c>
      <c r="B706" s="1" t="s">
        <v>1949</v>
      </c>
      <c r="C706" s="1" t="s">
        <v>723</v>
      </c>
      <c r="D706" s="1" t="s">
        <v>340</v>
      </c>
      <c r="E706" s="1" t="s">
        <v>1284</v>
      </c>
      <c r="F706" s="1" t="s">
        <v>364</v>
      </c>
      <c r="G706" s="1">
        <v>900</v>
      </c>
    </row>
    <row r="707" spans="1:7">
      <c r="A707" s="1" t="s">
        <v>1950</v>
      </c>
      <c r="B707" s="1" t="s">
        <v>1951</v>
      </c>
      <c r="C707" s="1" t="s">
        <v>775</v>
      </c>
      <c r="D707" s="1" t="s">
        <v>64</v>
      </c>
      <c r="E707" s="1" t="s">
        <v>1396</v>
      </c>
      <c r="F707" s="1" t="s">
        <v>775</v>
      </c>
      <c r="G707" s="1">
        <v>300</v>
      </c>
    </row>
    <row r="708" spans="1:7">
      <c r="A708" s="1" t="s">
        <v>1952</v>
      </c>
      <c r="B708" s="1" t="s">
        <v>1953</v>
      </c>
      <c r="C708" s="1" t="s">
        <v>775</v>
      </c>
      <c r="D708" s="1" t="s">
        <v>64</v>
      </c>
      <c r="E708" s="1" t="s">
        <v>1527</v>
      </c>
      <c r="F708" s="1" t="s">
        <v>775</v>
      </c>
      <c r="G708" s="1">
        <v>1200</v>
      </c>
    </row>
    <row r="709" spans="1:7">
      <c r="A709" s="1" t="s">
        <v>1954</v>
      </c>
      <c r="B709" s="1" t="s">
        <v>1955</v>
      </c>
      <c r="C709" s="1" t="s">
        <v>339</v>
      </c>
      <c r="D709" s="1" t="s">
        <v>340</v>
      </c>
      <c r="E709" s="1" t="s">
        <v>955</v>
      </c>
      <c r="F709" s="1" t="s">
        <v>342</v>
      </c>
      <c r="G709" s="1">
        <v>1600</v>
      </c>
    </row>
    <row r="710" spans="1:7">
      <c r="A710" s="1" t="s">
        <v>1956</v>
      </c>
      <c r="B710" s="1" t="s">
        <v>1957</v>
      </c>
      <c r="C710" s="1" t="s">
        <v>440</v>
      </c>
      <c r="D710" s="1" t="s">
        <v>340</v>
      </c>
      <c r="E710" s="1" t="s">
        <v>441</v>
      </c>
      <c r="F710" s="1" t="s">
        <v>558</v>
      </c>
      <c r="G710" s="1">
        <v>120</v>
      </c>
    </row>
    <row r="711" spans="1:7">
      <c r="A711" s="1" t="s">
        <v>1958</v>
      </c>
      <c r="B711" s="1" t="s">
        <v>1959</v>
      </c>
      <c r="C711" s="1" t="s">
        <v>556</v>
      </c>
      <c r="D711" s="1" t="s">
        <v>340</v>
      </c>
      <c r="E711" s="1" t="s">
        <v>557</v>
      </c>
      <c r="F711" s="1" t="s">
        <v>558</v>
      </c>
      <c r="G711" s="1">
        <v>280</v>
      </c>
    </row>
    <row r="712" spans="1:7">
      <c r="A712" s="1" t="s">
        <v>1960</v>
      </c>
      <c r="B712" s="1" t="s">
        <v>1961</v>
      </c>
      <c r="C712" s="1" t="s">
        <v>339</v>
      </c>
      <c r="D712" s="1" t="s">
        <v>340</v>
      </c>
      <c r="E712" s="1" t="s">
        <v>404</v>
      </c>
      <c r="F712" s="1" t="s">
        <v>342</v>
      </c>
      <c r="G712" s="1">
        <v>700</v>
      </c>
    </row>
    <row r="713" spans="1:7">
      <c r="A713" s="1" t="s">
        <v>1962</v>
      </c>
      <c r="B713" s="1" t="s">
        <v>1963</v>
      </c>
      <c r="C713" s="1" t="s">
        <v>379</v>
      </c>
      <c r="D713" s="1" t="s">
        <v>340</v>
      </c>
      <c r="E713" s="1" t="s">
        <v>1138</v>
      </c>
      <c r="F713" s="1" t="s">
        <v>381</v>
      </c>
      <c r="G713" s="1">
        <v>400</v>
      </c>
    </row>
    <row r="714" spans="1:7">
      <c r="A714" s="1" t="s">
        <v>1964</v>
      </c>
      <c r="B714" s="1" t="s">
        <v>1238</v>
      </c>
      <c r="C714" s="1" t="s">
        <v>723</v>
      </c>
      <c r="D714" s="1" t="s">
        <v>340</v>
      </c>
      <c r="E714" s="1" t="s">
        <v>724</v>
      </c>
      <c r="F714" s="1" t="s">
        <v>364</v>
      </c>
      <c r="G714" s="1">
        <v>140</v>
      </c>
    </row>
    <row r="715" spans="1:7">
      <c r="A715" s="1" t="s">
        <v>1965</v>
      </c>
      <c r="B715" s="1" t="s">
        <v>1966</v>
      </c>
      <c r="C715" s="1" t="s">
        <v>556</v>
      </c>
      <c r="D715" s="1" t="s">
        <v>340</v>
      </c>
      <c r="E715" s="1" t="s">
        <v>557</v>
      </c>
      <c r="F715" s="1" t="s">
        <v>558</v>
      </c>
      <c r="G715" s="1">
        <v>110</v>
      </c>
    </row>
    <row r="716" spans="1:7">
      <c r="A716" s="1" t="s">
        <v>1967</v>
      </c>
      <c r="B716" s="1" t="s">
        <v>1968</v>
      </c>
      <c r="C716" s="1" t="s">
        <v>339</v>
      </c>
      <c r="D716" s="1" t="s">
        <v>340</v>
      </c>
      <c r="E716" s="1" t="s">
        <v>457</v>
      </c>
      <c r="F716" s="1" t="s">
        <v>342</v>
      </c>
      <c r="G716" s="1">
        <v>100</v>
      </c>
    </row>
    <row r="717" spans="1:7">
      <c r="A717" s="1" t="s">
        <v>1969</v>
      </c>
      <c r="B717" s="1" t="s">
        <v>1970</v>
      </c>
      <c r="C717" s="1" t="s">
        <v>666</v>
      </c>
      <c r="D717" s="1" t="s">
        <v>340</v>
      </c>
      <c r="E717" s="1" t="s">
        <v>667</v>
      </c>
      <c r="F717" s="1" t="s">
        <v>558</v>
      </c>
      <c r="G717" s="1">
        <v>400</v>
      </c>
    </row>
    <row r="718" spans="1:7">
      <c r="A718" s="1" t="s">
        <v>258</v>
      </c>
      <c r="B718" s="1" t="s">
        <v>1971</v>
      </c>
      <c r="C718" s="1" t="s">
        <v>379</v>
      </c>
      <c r="D718" s="1" t="s">
        <v>340</v>
      </c>
      <c r="E718" s="1" t="s">
        <v>380</v>
      </c>
      <c r="F718" s="1" t="s">
        <v>381</v>
      </c>
      <c r="G718" s="1">
        <v>273</v>
      </c>
    </row>
    <row r="719" spans="1:7">
      <c r="A719" s="1" t="s">
        <v>259</v>
      </c>
      <c r="B719" s="1" t="s">
        <v>1972</v>
      </c>
      <c r="C719" s="1" t="s">
        <v>467</v>
      </c>
      <c r="D719" s="1" t="s">
        <v>64</v>
      </c>
      <c r="E719" s="1" t="s">
        <v>546</v>
      </c>
      <c r="F719" s="1" t="s">
        <v>351</v>
      </c>
      <c r="G719" s="1">
        <v>650</v>
      </c>
    </row>
    <row r="720" spans="1:7">
      <c r="A720" s="1" t="s">
        <v>1973</v>
      </c>
      <c r="B720" s="1" t="s">
        <v>1974</v>
      </c>
      <c r="C720" s="1" t="s">
        <v>339</v>
      </c>
      <c r="D720" s="1" t="s">
        <v>340</v>
      </c>
      <c r="E720" s="1" t="s">
        <v>622</v>
      </c>
      <c r="F720" s="1" t="s">
        <v>342</v>
      </c>
      <c r="G720" s="1">
        <v>600</v>
      </c>
    </row>
    <row r="721" spans="1:7">
      <c r="A721" s="1" t="s">
        <v>1975</v>
      </c>
      <c r="B721" s="1" t="s">
        <v>1976</v>
      </c>
      <c r="C721" s="1" t="s">
        <v>440</v>
      </c>
      <c r="D721" s="1" t="s">
        <v>340</v>
      </c>
      <c r="E721" s="1" t="s">
        <v>1169</v>
      </c>
      <c r="F721" s="1" t="s">
        <v>558</v>
      </c>
      <c r="G721" s="1">
        <v>250</v>
      </c>
    </row>
    <row r="722" spans="1:7">
      <c r="A722" s="1" t="s">
        <v>1977</v>
      </c>
      <c r="B722" s="1" t="s">
        <v>1978</v>
      </c>
      <c r="C722" s="1" t="s">
        <v>339</v>
      </c>
      <c r="D722" s="1" t="s">
        <v>340</v>
      </c>
      <c r="E722" s="1" t="s">
        <v>471</v>
      </c>
      <c r="F722" s="1" t="s">
        <v>342</v>
      </c>
      <c r="G722" s="1">
        <v>150</v>
      </c>
    </row>
    <row r="723" spans="1:7">
      <c r="A723" s="1" t="s">
        <v>1979</v>
      </c>
      <c r="B723" s="1" t="s">
        <v>1980</v>
      </c>
      <c r="C723" s="1" t="s">
        <v>339</v>
      </c>
      <c r="D723" s="1" t="s">
        <v>340</v>
      </c>
      <c r="E723" s="1" t="s">
        <v>870</v>
      </c>
      <c r="F723" s="1" t="s">
        <v>342</v>
      </c>
      <c r="G723" s="1">
        <v>100</v>
      </c>
    </row>
    <row r="724" spans="1:7">
      <c r="A724" s="1" t="s">
        <v>1981</v>
      </c>
      <c r="B724" s="1" t="s">
        <v>1982</v>
      </c>
      <c r="C724" s="1" t="s">
        <v>349</v>
      </c>
      <c r="D724" s="1" t="s">
        <v>64</v>
      </c>
      <c r="E724" s="1" t="s">
        <v>1983</v>
      </c>
      <c r="F724" s="1" t="s">
        <v>351</v>
      </c>
      <c r="G724" s="1">
        <v>135</v>
      </c>
    </row>
    <row r="725" spans="1:7">
      <c r="A725" s="1" t="s">
        <v>1984</v>
      </c>
      <c r="B725" s="1" t="s">
        <v>1985</v>
      </c>
      <c r="C725" s="1" t="s">
        <v>524</v>
      </c>
      <c r="D725" s="1" t="s">
        <v>340</v>
      </c>
      <c r="E725" s="1" t="s">
        <v>525</v>
      </c>
      <c r="F725" s="1" t="s">
        <v>526</v>
      </c>
      <c r="G725" s="1">
        <v>100</v>
      </c>
    </row>
    <row r="726" spans="1:7">
      <c r="A726" s="1" t="s">
        <v>1986</v>
      </c>
      <c r="B726" s="1" t="s">
        <v>1987</v>
      </c>
      <c r="C726" s="1" t="s">
        <v>362</v>
      </c>
      <c r="D726" s="1" t="s">
        <v>340</v>
      </c>
      <c r="E726" s="1" t="s">
        <v>518</v>
      </c>
      <c r="F726" s="1" t="s">
        <v>364</v>
      </c>
      <c r="G726" s="1">
        <v>101</v>
      </c>
    </row>
    <row r="727" spans="1:7">
      <c r="A727" s="1" t="s">
        <v>1988</v>
      </c>
      <c r="B727" s="1" t="s">
        <v>1989</v>
      </c>
      <c r="C727" s="1" t="s">
        <v>339</v>
      </c>
      <c r="D727" s="1" t="s">
        <v>340</v>
      </c>
      <c r="E727" s="1" t="s">
        <v>384</v>
      </c>
      <c r="F727" s="1" t="s">
        <v>342</v>
      </c>
      <c r="G727" s="1">
        <v>500</v>
      </c>
    </row>
    <row r="728" spans="1:7">
      <c r="A728" s="1" t="s">
        <v>1990</v>
      </c>
      <c r="B728" s="1" t="s">
        <v>1991</v>
      </c>
      <c r="C728" s="1" t="s">
        <v>1334</v>
      </c>
      <c r="D728" s="1" t="s">
        <v>340</v>
      </c>
      <c r="E728" s="1" t="s">
        <v>1800</v>
      </c>
      <c r="F728" s="1" t="s">
        <v>342</v>
      </c>
      <c r="G728" s="1">
        <v>100</v>
      </c>
    </row>
    <row r="729" spans="1:7">
      <c r="A729" s="1" t="s">
        <v>1992</v>
      </c>
      <c r="B729" s="1" t="s">
        <v>1993</v>
      </c>
      <c r="C729" s="1" t="s">
        <v>339</v>
      </c>
      <c r="D729" s="1" t="s">
        <v>340</v>
      </c>
      <c r="E729" s="1" t="s">
        <v>384</v>
      </c>
      <c r="F729" s="1" t="s">
        <v>342</v>
      </c>
      <c r="G729" s="1">
        <v>300</v>
      </c>
    </row>
    <row r="730" spans="1:7">
      <c r="A730" s="1" t="s">
        <v>1994</v>
      </c>
      <c r="B730" s="1" t="s">
        <v>1995</v>
      </c>
      <c r="C730" s="1" t="s">
        <v>379</v>
      </c>
      <c r="D730" s="1" t="s">
        <v>340</v>
      </c>
      <c r="E730" s="1" t="s">
        <v>380</v>
      </c>
      <c r="F730" s="1" t="s">
        <v>381</v>
      </c>
      <c r="G730" s="1">
        <v>640</v>
      </c>
    </row>
    <row r="731" spans="1:7">
      <c r="A731" s="1" t="s">
        <v>1996</v>
      </c>
      <c r="B731" s="1" t="s">
        <v>1444</v>
      </c>
      <c r="C731" s="1" t="s">
        <v>379</v>
      </c>
      <c r="D731" s="1" t="s">
        <v>340</v>
      </c>
      <c r="E731" s="1" t="s">
        <v>1138</v>
      </c>
      <c r="F731" s="1" t="s">
        <v>381</v>
      </c>
      <c r="G731" s="1">
        <v>1500</v>
      </c>
    </row>
    <row r="732" spans="1:7">
      <c r="A732" s="1" t="s">
        <v>1997</v>
      </c>
      <c r="B732" s="1" t="s">
        <v>1998</v>
      </c>
      <c r="C732" s="1" t="s">
        <v>339</v>
      </c>
      <c r="D732" s="1" t="s">
        <v>340</v>
      </c>
      <c r="E732" s="1" t="s">
        <v>404</v>
      </c>
      <c r="F732" s="1" t="s">
        <v>342</v>
      </c>
      <c r="G732" s="1">
        <v>300</v>
      </c>
    </row>
    <row r="733" spans="1:7">
      <c r="A733" s="1" t="s">
        <v>1999</v>
      </c>
      <c r="B733" s="1" t="s">
        <v>2000</v>
      </c>
      <c r="C733" s="1" t="s">
        <v>339</v>
      </c>
      <c r="D733" s="1" t="s">
        <v>340</v>
      </c>
      <c r="E733" s="1" t="s">
        <v>577</v>
      </c>
      <c r="F733" s="1" t="s">
        <v>342</v>
      </c>
      <c r="G733" s="1">
        <v>250</v>
      </c>
    </row>
    <row r="734" spans="1:7">
      <c r="A734" s="1" t="s">
        <v>2001</v>
      </c>
      <c r="B734" s="1" t="s">
        <v>2002</v>
      </c>
      <c r="C734" s="1" t="s">
        <v>339</v>
      </c>
      <c r="D734" s="1" t="s">
        <v>340</v>
      </c>
      <c r="E734" s="1" t="s">
        <v>341</v>
      </c>
      <c r="F734" s="1" t="s">
        <v>342</v>
      </c>
      <c r="G734" s="1">
        <v>100</v>
      </c>
    </row>
    <row r="735" spans="1:7">
      <c r="A735" s="1" t="s">
        <v>2003</v>
      </c>
      <c r="B735" s="1" t="s">
        <v>2004</v>
      </c>
      <c r="C735" s="1" t="s">
        <v>2005</v>
      </c>
      <c r="D735" s="1" t="s">
        <v>695</v>
      </c>
      <c r="E735" s="1" t="s">
        <v>2006</v>
      </c>
      <c r="F735" s="1" t="s">
        <v>357</v>
      </c>
      <c r="G735" s="1">
        <v>180</v>
      </c>
    </row>
    <row r="736" spans="1:7">
      <c r="A736" s="1" t="s">
        <v>2007</v>
      </c>
      <c r="B736" s="1" t="s">
        <v>2008</v>
      </c>
      <c r="C736" s="1" t="s">
        <v>339</v>
      </c>
      <c r="D736" s="1" t="s">
        <v>340</v>
      </c>
      <c r="E736" s="1" t="s">
        <v>674</v>
      </c>
      <c r="F736" s="1" t="s">
        <v>342</v>
      </c>
      <c r="G736" s="1">
        <v>150</v>
      </c>
    </row>
    <row r="737" spans="1:7">
      <c r="A737" s="1" t="s">
        <v>2009</v>
      </c>
      <c r="B737" s="1" t="s">
        <v>2010</v>
      </c>
      <c r="C737" s="1" t="s">
        <v>2011</v>
      </c>
      <c r="D737" s="1" t="s">
        <v>340</v>
      </c>
      <c r="E737" s="1" t="s">
        <v>2012</v>
      </c>
      <c r="F737" s="1" t="s">
        <v>526</v>
      </c>
      <c r="G737" s="1">
        <v>125</v>
      </c>
    </row>
    <row r="738" spans="1:7">
      <c r="A738" s="1" t="s">
        <v>2013</v>
      </c>
      <c r="B738" s="1" t="s">
        <v>2014</v>
      </c>
      <c r="C738" s="1" t="s">
        <v>339</v>
      </c>
      <c r="D738" s="1" t="s">
        <v>340</v>
      </c>
      <c r="E738" s="1" t="s">
        <v>384</v>
      </c>
      <c r="F738" s="1" t="s">
        <v>342</v>
      </c>
      <c r="G738" s="1">
        <v>180</v>
      </c>
    </row>
    <row r="739" spans="1:7">
      <c r="A739" s="1" t="s">
        <v>2015</v>
      </c>
      <c r="B739" s="1" t="s">
        <v>2016</v>
      </c>
      <c r="C739" s="1" t="s">
        <v>339</v>
      </c>
      <c r="D739" s="1" t="s">
        <v>340</v>
      </c>
      <c r="E739" s="1" t="s">
        <v>508</v>
      </c>
      <c r="F739" s="1" t="s">
        <v>342</v>
      </c>
      <c r="G739" s="1">
        <v>100</v>
      </c>
    </row>
    <row r="740" spans="1:7">
      <c r="A740" s="1" t="s">
        <v>2017</v>
      </c>
      <c r="B740" s="1" t="s">
        <v>2018</v>
      </c>
      <c r="C740" s="1" t="s">
        <v>436</v>
      </c>
      <c r="D740" s="1" t="s">
        <v>340</v>
      </c>
      <c r="E740" s="1" t="s">
        <v>610</v>
      </c>
      <c r="F740" s="1" t="s">
        <v>565</v>
      </c>
      <c r="G740" s="1">
        <v>200</v>
      </c>
    </row>
    <row r="741" spans="1:7">
      <c r="A741" s="1" t="s">
        <v>2019</v>
      </c>
      <c r="B741" s="1" t="s">
        <v>2020</v>
      </c>
      <c r="C741" s="1" t="s">
        <v>1079</v>
      </c>
      <c r="D741" s="1" t="s">
        <v>1080</v>
      </c>
      <c r="E741" s="1" t="s">
        <v>2021</v>
      </c>
      <c r="F741" s="1" t="s">
        <v>357</v>
      </c>
      <c r="G741" s="1">
        <v>455</v>
      </c>
    </row>
    <row r="742" spans="1:7">
      <c r="A742" s="1" t="s">
        <v>2022</v>
      </c>
      <c r="B742" s="1" t="s">
        <v>2023</v>
      </c>
      <c r="C742" s="1" t="s">
        <v>339</v>
      </c>
      <c r="D742" s="1" t="s">
        <v>340</v>
      </c>
      <c r="E742" s="1" t="s">
        <v>404</v>
      </c>
      <c r="F742" s="1" t="s">
        <v>342</v>
      </c>
      <c r="G742" s="1">
        <v>100</v>
      </c>
    </row>
    <row r="743" spans="1:7">
      <c r="A743" s="1" t="s">
        <v>2024</v>
      </c>
      <c r="B743" s="1" t="s">
        <v>2025</v>
      </c>
      <c r="C743" s="1" t="s">
        <v>723</v>
      </c>
      <c r="D743" s="1" t="s">
        <v>340</v>
      </c>
      <c r="E743" s="1" t="s">
        <v>1284</v>
      </c>
      <c r="F743" s="1" t="s">
        <v>357</v>
      </c>
      <c r="G743" s="1">
        <v>5120</v>
      </c>
    </row>
    <row r="744" spans="1:7">
      <c r="A744" s="1" t="s">
        <v>2026</v>
      </c>
      <c r="B744" s="1" t="s">
        <v>2027</v>
      </c>
      <c r="C744" s="1" t="s">
        <v>511</v>
      </c>
      <c r="D744" s="1" t="s">
        <v>340</v>
      </c>
      <c r="E744" s="1" t="s">
        <v>852</v>
      </c>
      <c r="F744" s="1" t="s">
        <v>513</v>
      </c>
      <c r="G744" s="1">
        <v>150</v>
      </c>
    </row>
    <row r="745" spans="1:7">
      <c r="A745" s="1" t="s">
        <v>2028</v>
      </c>
      <c r="B745" s="1" t="s">
        <v>2029</v>
      </c>
      <c r="C745" s="1" t="s">
        <v>339</v>
      </c>
      <c r="D745" s="1" t="s">
        <v>340</v>
      </c>
      <c r="E745" s="1" t="s">
        <v>341</v>
      </c>
      <c r="F745" s="1" t="s">
        <v>342</v>
      </c>
      <c r="G745" s="1">
        <v>400</v>
      </c>
    </row>
    <row r="746" spans="1:7">
      <c r="A746" s="1" t="s">
        <v>2030</v>
      </c>
      <c r="B746" s="1" t="s">
        <v>2031</v>
      </c>
      <c r="C746" s="1" t="s">
        <v>379</v>
      </c>
      <c r="D746" s="1" t="s">
        <v>340</v>
      </c>
      <c r="E746" s="1" t="s">
        <v>380</v>
      </c>
      <c r="F746" s="1" t="s">
        <v>381</v>
      </c>
      <c r="G746" s="1">
        <v>100</v>
      </c>
    </row>
    <row r="747" spans="1:7">
      <c r="A747" s="1" t="s">
        <v>2032</v>
      </c>
      <c r="B747" s="1" t="s">
        <v>1124</v>
      </c>
      <c r="C747" s="1" t="s">
        <v>425</v>
      </c>
      <c r="D747" s="1" t="s">
        <v>340</v>
      </c>
      <c r="E747" s="1" t="s">
        <v>426</v>
      </c>
      <c r="F747" s="1" t="s">
        <v>427</v>
      </c>
      <c r="G747" s="1">
        <v>125</v>
      </c>
    </row>
    <row r="748" spans="1:7">
      <c r="A748" s="1" t="s">
        <v>2033</v>
      </c>
      <c r="B748" s="1" t="s">
        <v>2034</v>
      </c>
      <c r="C748" s="1" t="s">
        <v>362</v>
      </c>
      <c r="D748" s="1" t="s">
        <v>340</v>
      </c>
      <c r="E748" s="1" t="s">
        <v>518</v>
      </c>
      <c r="F748" s="1" t="s">
        <v>364</v>
      </c>
      <c r="G748" s="1">
        <v>200</v>
      </c>
    </row>
    <row r="749" spans="1:7">
      <c r="A749" s="1" t="s">
        <v>2035</v>
      </c>
      <c r="B749" s="1" t="s">
        <v>2036</v>
      </c>
      <c r="C749" s="1" t="s">
        <v>339</v>
      </c>
      <c r="D749" s="1" t="s">
        <v>340</v>
      </c>
      <c r="E749" s="1" t="s">
        <v>341</v>
      </c>
      <c r="F749" s="1" t="s">
        <v>342</v>
      </c>
      <c r="G749" s="1">
        <v>100</v>
      </c>
    </row>
    <row r="750" spans="1:7">
      <c r="A750" s="1" t="s">
        <v>2037</v>
      </c>
      <c r="B750" s="1" t="s">
        <v>2038</v>
      </c>
      <c r="C750" s="1" t="s">
        <v>89</v>
      </c>
      <c r="D750" s="1" t="s">
        <v>340</v>
      </c>
      <c r="E750" s="1" t="s">
        <v>1021</v>
      </c>
      <c r="F750" s="1" t="s">
        <v>381</v>
      </c>
      <c r="G750" s="1">
        <v>180</v>
      </c>
    </row>
    <row r="751" spans="1:7">
      <c r="A751" s="1" t="s">
        <v>2039</v>
      </c>
      <c r="B751" s="1" t="s">
        <v>2040</v>
      </c>
      <c r="C751" s="1" t="s">
        <v>339</v>
      </c>
      <c r="D751" s="1" t="s">
        <v>340</v>
      </c>
      <c r="E751" s="1" t="s">
        <v>404</v>
      </c>
      <c r="F751" s="1" t="s">
        <v>342</v>
      </c>
      <c r="G751" s="1">
        <v>100</v>
      </c>
    </row>
    <row r="752" spans="1:7">
      <c r="A752" s="1" t="s">
        <v>2041</v>
      </c>
      <c r="B752" s="1" t="s">
        <v>2042</v>
      </c>
      <c r="C752" s="1" t="s">
        <v>339</v>
      </c>
      <c r="D752" s="1" t="s">
        <v>340</v>
      </c>
      <c r="E752" s="1" t="s">
        <v>613</v>
      </c>
      <c r="F752" s="1" t="s">
        <v>357</v>
      </c>
      <c r="G752" s="1">
        <v>300</v>
      </c>
    </row>
    <row r="753" spans="1:7">
      <c r="A753" s="1" t="s">
        <v>2043</v>
      </c>
      <c r="B753" s="1" t="s">
        <v>2044</v>
      </c>
      <c r="C753" s="1" t="s">
        <v>339</v>
      </c>
      <c r="D753" s="1" t="s">
        <v>340</v>
      </c>
      <c r="E753" s="1" t="s">
        <v>577</v>
      </c>
      <c r="F753" s="1" t="s">
        <v>357</v>
      </c>
      <c r="G753" s="1">
        <v>1000</v>
      </c>
    </row>
    <row r="754" spans="1:7">
      <c r="A754" s="1" t="s">
        <v>2045</v>
      </c>
      <c r="B754" s="1" t="s">
        <v>2046</v>
      </c>
      <c r="C754" s="1" t="s">
        <v>2047</v>
      </c>
      <c r="D754" s="1" t="s">
        <v>340</v>
      </c>
      <c r="E754" s="1" t="s">
        <v>2048</v>
      </c>
      <c r="F754" s="1" t="s">
        <v>565</v>
      </c>
      <c r="G754" s="1">
        <v>180</v>
      </c>
    </row>
    <row r="755" spans="1:7">
      <c r="A755" s="1" t="s">
        <v>2049</v>
      </c>
      <c r="B755" s="1" t="s">
        <v>2050</v>
      </c>
      <c r="C755" s="1" t="s">
        <v>339</v>
      </c>
      <c r="D755" s="1" t="s">
        <v>340</v>
      </c>
      <c r="E755" s="1" t="s">
        <v>577</v>
      </c>
      <c r="F755" s="1" t="s">
        <v>342</v>
      </c>
      <c r="G755" s="1">
        <v>125</v>
      </c>
    </row>
    <row r="756" spans="1:7">
      <c r="A756" s="1" t="s">
        <v>2051</v>
      </c>
      <c r="B756" s="1" t="s">
        <v>2052</v>
      </c>
      <c r="C756" s="1" t="s">
        <v>511</v>
      </c>
      <c r="D756" s="1" t="s">
        <v>340</v>
      </c>
      <c r="E756" s="1" t="s">
        <v>536</v>
      </c>
      <c r="F756" s="1" t="s">
        <v>513</v>
      </c>
      <c r="G756" s="1">
        <v>100</v>
      </c>
    </row>
    <row r="757" spans="1:7">
      <c r="A757" s="1" t="s">
        <v>2053</v>
      </c>
      <c r="B757" s="1" t="s">
        <v>2054</v>
      </c>
      <c r="C757" s="1" t="s">
        <v>531</v>
      </c>
      <c r="D757" s="1" t="s">
        <v>64</v>
      </c>
      <c r="E757" s="1" t="s">
        <v>532</v>
      </c>
      <c r="F757" s="1" t="s">
        <v>533</v>
      </c>
      <c r="G757" s="1">
        <v>350</v>
      </c>
    </row>
    <row r="758" spans="1:7">
      <c r="A758" s="1" t="s">
        <v>2055</v>
      </c>
      <c r="B758" s="1" t="s">
        <v>2056</v>
      </c>
      <c r="C758" s="1" t="s">
        <v>60</v>
      </c>
      <c r="D758" s="1" t="s">
        <v>61</v>
      </c>
      <c r="E758" s="1" t="s">
        <v>2057</v>
      </c>
      <c r="F758" s="1" t="s">
        <v>357</v>
      </c>
      <c r="G758" s="1">
        <v>2475</v>
      </c>
    </row>
    <row r="759" spans="1:7">
      <c r="A759" s="1" t="s">
        <v>2058</v>
      </c>
      <c r="B759" s="1" t="s">
        <v>2059</v>
      </c>
      <c r="C759" s="1" t="s">
        <v>339</v>
      </c>
      <c r="D759" s="1" t="s">
        <v>340</v>
      </c>
      <c r="E759" s="1" t="s">
        <v>677</v>
      </c>
      <c r="F759" s="1" t="s">
        <v>342</v>
      </c>
      <c r="G759" s="1">
        <v>130</v>
      </c>
    </row>
    <row r="760" spans="1:7">
      <c r="A760" s="1" t="s">
        <v>2060</v>
      </c>
      <c r="B760" s="1" t="s">
        <v>2061</v>
      </c>
      <c r="C760" s="1" t="s">
        <v>339</v>
      </c>
      <c r="D760" s="1" t="s">
        <v>340</v>
      </c>
      <c r="E760" s="1" t="s">
        <v>384</v>
      </c>
      <c r="F760" s="1" t="s">
        <v>342</v>
      </c>
      <c r="G760" s="1">
        <v>100</v>
      </c>
    </row>
    <row r="761" spans="1:7">
      <c r="A761" s="1" t="s">
        <v>2062</v>
      </c>
      <c r="B761" s="1" t="s">
        <v>2063</v>
      </c>
      <c r="C761" s="1" t="s">
        <v>339</v>
      </c>
      <c r="D761" s="1" t="s">
        <v>340</v>
      </c>
      <c r="E761" s="1" t="s">
        <v>783</v>
      </c>
      <c r="F761" s="1" t="s">
        <v>342</v>
      </c>
      <c r="G761" s="1">
        <v>250</v>
      </c>
    </row>
    <row r="762" spans="1:7">
      <c r="A762" s="1" t="s">
        <v>2064</v>
      </c>
      <c r="B762" s="1" t="s">
        <v>2065</v>
      </c>
      <c r="C762" s="1" t="s">
        <v>339</v>
      </c>
      <c r="D762" s="1" t="s">
        <v>340</v>
      </c>
      <c r="E762" s="1" t="s">
        <v>376</v>
      </c>
      <c r="F762" s="1" t="s">
        <v>342</v>
      </c>
      <c r="G762" s="1">
        <v>180</v>
      </c>
    </row>
    <row r="763" spans="1:7">
      <c r="A763" s="1" t="s">
        <v>2066</v>
      </c>
      <c r="B763" s="1" t="s">
        <v>2067</v>
      </c>
      <c r="C763" s="1" t="s">
        <v>339</v>
      </c>
      <c r="D763" s="1" t="s">
        <v>340</v>
      </c>
      <c r="E763" s="1" t="s">
        <v>783</v>
      </c>
      <c r="F763" s="1" t="s">
        <v>357</v>
      </c>
      <c r="G763" s="1">
        <v>725</v>
      </c>
    </row>
    <row r="764" spans="1:7">
      <c r="A764" s="1" t="s">
        <v>2068</v>
      </c>
      <c r="B764" s="1" t="s">
        <v>2069</v>
      </c>
      <c r="C764" s="1" t="s">
        <v>425</v>
      </c>
      <c r="D764" s="1" t="s">
        <v>340</v>
      </c>
      <c r="E764" s="1" t="s">
        <v>1290</v>
      </c>
      <c r="F764" s="1" t="s">
        <v>427</v>
      </c>
      <c r="G764" s="1">
        <v>200</v>
      </c>
    </row>
    <row r="765" spans="1:7">
      <c r="A765" s="1" t="s">
        <v>2070</v>
      </c>
      <c r="B765" s="1" t="s">
        <v>2071</v>
      </c>
      <c r="C765" s="1" t="s">
        <v>339</v>
      </c>
      <c r="D765" s="1" t="s">
        <v>340</v>
      </c>
      <c r="E765" s="1" t="s">
        <v>870</v>
      </c>
      <c r="F765" s="1" t="s">
        <v>342</v>
      </c>
      <c r="G765" s="1">
        <v>132</v>
      </c>
    </row>
    <row r="766" spans="1:7">
      <c r="A766" s="1" t="s">
        <v>2072</v>
      </c>
      <c r="B766" s="1" t="s">
        <v>2073</v>
      </c>
      <c r="C766" s="1" t="s">
        <v>556</v>
      </c>
      <c r="D766" s="1" t="s">
        <v>340</v>
      </c>
      <c r="E766" s="1" t="s">
        <v>557</v>
      </c>
      <c r="F766" s="1" t="s">
        <v>558</v>
      </c>
      <c r="G766" s="1">
        <v>135</v>
      </c>
    </row>
    <row r="767" spans="1:7">
      <c r="A767" s="1" t="s">
        <v>2074</v>
      </c>
      <c r="B767" s="1" t="s">
        <v>2075</v>
      </c>
      <c r="C767" s="1" t="s">
        <v>436</v>
      </c>
      <c r="D767" s="1" t="s">
        <v>340</v>
      </c>
      <c r="E767" s="1" t="s">
        <v>1190</v>
      </c>
      <c r="F767" s="1" t="s">
        <v>565</v>
      </c>
      <c r="G767" s="1">
        <v>150</v>
      </c>
    </row>
    <row r="768" spans="1:7">
      <c r="A768" s="1" t="s">
        <v>2076</v>
      </c>
      <c r="B768" s="1" t="s">
        <v>2077</v>
      </c>
      <c r="C768" s="1" t="s">
        <v>824</v>
      </c>
      <c r="D768" s="1" t="s">
        <v>340</v>
      </c>
      <c r="E768" s="1" t="s">
        <v>825</v>
      </c>
      <c r="F768" s="1" t="s">
        <v>419</v>
      </c>
      <c r="G768" s="1">
        <v>270</v>
      </c>
    </row>
    <row r="769" spans="1:7">
      <c r="A769" s="1" t="s">
        <v>2078</v>
      </c>
      <c r="B769" s="1" t="s">
        <v>2079</v>
      </c>
      <c r="C769" s="1" t="s">
        <v>436</v>
      </c>
      <c r="D769" s="1" t="s">
        <v>340</v>
      </c>
      <c r="E769" s="1" t="s">
        <v>610</v>
      </c>
      <c r="F769" s="1" t="s">
        <v>565</v>
      </c>
      <c r="G769" s="1">
        <v>100</v>
      </c>
    </row>
    <row r="770" spans="1:7">
      <c r="A770" s="1" t="s">
        <v>2080</v>
      </c>
      <c r="B770" s="1" t="s">
        <v>2081</v>
      </c>
      <c r="C770" s="1" t="s">
        <v>412</v>
      </c>
      <c r="D770" s="1" t="s">
        <v>340</v>
      </c>
      <c r="E770" s="1" t="s">
        <v>413</v>
      </c>
      <c r="F770" s="1" t="s">
        <v>414</v>
      </c>
      <c r="G770" s="1">
        <v>225</v>
      </c>
    </row>
    <row r="771" spans="1:7">
      <c r="A771" s="1" t="s">
        <v>2082</v>
      </c>
      <c r="B771" s="1" t="s">
        <v>2083</v>
      </c>
      <c r="C771" s="1" t="s">
        <v>467</v>
      </c>
      <c r="D771" s="1" t="s">
        <v>64</v>
      </c>
      <c r="E771" s="1" t="s">
        <v>468</v>
      </c>
      <c r="F771" s="1" t="s">
        <v>351</v>
      </c>
      <c r="G771" s="1">
        <v>120</v>
      </c>
    </row>
    <row r="772" spans="1:7">
      <c r="A772" s="1" t="s">
        <v>2084</v>
      </c>
      <c r="B772" s="1" t="s">
        <v>2085</v>
      </c>
      <c r="C772" s="1" t="s">
        <v>339</v>
      </c>
      <c r="D772" s="1" t="s">
        <v>340</v>
      </c>
      <c r="E772" s="1" t="s">
        <v>677</v>
      </c>
      <c r="F772" s="1" t="s">
        <v>357</v>
      </c>
      <c r="G772" s="1">
        <v>250</v>
      </c>
    </row>
    <row r="773" spans="1:7">
      <c r="A773" s="1" t="s">
        <v>2086</v>
      </c>
      <c r="B773" s="1" t="s">
        <v>2087</v>
      </c>
      <c r="C773" s="1" t="s">
        <v>666</v>
      </c>
      <c r="D773" s="1" t="s">
        <v>340</v>
      </c>
      <c r="E773" s="1" t="s">
        <v>667</v>
      </c>
      <c r="F773" s="1" t="s">
        <v>357</v>
      </c>
      <c r="G773" s="1">
        <v>750</v>
      </c>
    </row>
    <row r="774" spans="1:7">
      <c r="A774" s="1" t="s">
        <v>2088</v>
      </c>
      <c r="B774" s="1" t="s">
        <v>2089</v>
      </c>
      <c r="C774" s="1" t="s">
        <v>2090</v>
      </c>
      <c r="D774" s="1" t="s">
        <v>340</v>
      </c>
      <c r="E774" s="1" t="s">
        <v>2091</v>
      </c>
      <c r="F774" s="1" t="s">
        <v>357</v>
      </c>
      <c r="G774" s="1">
        <v>1470</v>
      </c>
    </row>
    <row r="775" spans="1:7">
      <c r="A775" s="1" t="s">
        <v>2092</v>
      </c>
      <c r="B775" s="1" t="s">
        <v>2093</v>
      </c>
      <c r="C775" s="1" t="s">
        <v>412</v>
      </c>
      <c r="D775" s="1" t="s">
        <v>340</v>
      </c>
      <c r="E775" s="1" t="s">
        <v>413</v>
      </c>
      <c r="F775" s="1" t="s">
        <v>414</v>
      </c>
      <c r="G775" s="1">
        <v>1000</v>
      </c>
    </row>
    <row r="776" spans="1:7">
      <c r="A776" s="1" t="s">
        <v>2094</v>
      </c>
      <c r="B776" s="1" t="s">
        <v>2095</v>
      </c>
      <c r="C776" s="1" t="s">
        <v>339</v>
      </c>
      <c r="D776" s="1" t="s">
        <v>340</v>
      </c>
      <c r="E776" s="1" t="s">
        <v>677</v>
      </c>
      <c r="F776" s="1" t="s">
        <v>342</v>
      </c>
      <c r="G776" s="1">
        <v>100</v>
      </c>
    </row>
    <row r="777" spans="1:7">
      <c r="A777" s="1" t="s">
        <v>2096</v>
      </c>
      <c r="B777" s="1" t="s">
        <v>2097</v>
      </c>
      <c r="C777" s="1" t="s">
        <v>2098</v>
      </c>
      <c r="D777" s="1" t="s">
        <v>340</v>
      </c>
      <c r="E777" s="1" t="s">
        <v>2099</v>
      </c>
      <c r="F777" s="1" t="s">
        <v>565</v>
      </c>
      <c r="G777" s="1">
        <v>175</v>
      </c>
    </row>
    <row r="778" spans="1:7">
      <c r="A778" s="1" t="s">
        <v>2100</v>
      </c>
      <c r="B778" s="1" t="s">
        <v>2101</v>
      </c>
      <c r="C778" s="1" t="s">
        <v>339</v>
      </c>
      <c r="D778" s="1" t="s">
        <v>340</v>
      </c>
      <c r="E778" s="1" t="s">
        <v>471</v>
      </c>
      <c r="F778" s="1" t="s">
        <v>342</v>
      </c>
      <c r="G778" s="1">
        <v>175</v>
      </c>
    </row>
    <row r="779" spans="1:7">
      <c r="A779" s="1" t="s">
        <v>2102</v>
      </c>
      <c r="B779" s="1" t="s">
        <v>2103</v>
      </c>
      <c r="C779" s="1" t="s">
        <v>339</v>
      </c>
      <c r="D779" s="1" t="s">
        <v>340</v>
      </c>
      <c r="E779" s="1" t="s">
        <v>341</v>
      </c>
      <c r="F779" s="1" t="s">
        <v>342</v>
      </c>
      <c r="G779" s="1">
        <v>100</v>
      </c>
    </row>
    <row r="780" spans="1:7">
      <c r="A780" s="1" t="s">
        <v>2104</v>
      </c>
      <c r="B780" s="1" t="s">
        <v>2105</v>
      </c>
      <c r="C780" s="1" t="s">
        <v>511</v>
      </c>
      <c r="D780" s="1" t="s">
        <v>340</v>
      </c>
      <c r="E780" s="1" t="s">
        <v>536</v>
      </c>
      <c r="F780" s="1" t="s">
        <v>513</v>
      </c>
      <c r="G780" s="1">
        <v>100</v>
      </c>
    </row>
    <row r="781" spans="1:7">
      <c r="A781" s="1" t="s">
        <v>2106</v>
      </c>
      <c r="B781" s="1" t="s">
        <v>2107</v>
      </c>
      <c r="C781" s="1" t="s">
        <v>511</v>
      </c>
      <c r="D781" s="1" t="s">
        <v>340</v>
      </c>
      <c r="E781" s="1" t="s">
        <v>536</v>
      </c>
      <c r="F781" s="1" t="s">
        <v>513</v>
      </c>
      <c r="G781" s="1">
        <v>150</v>
      </c>
    </row>
    <row r="782" spans="1:7">
      <c r="A782" s="1" t="s">
        <v>2108</v>
      </c>
      <c r="B782" s="1" t="s">
        <v>2109</v>
      </c>
      <c r="C782" s="1" t="s">
        <v>339</v>
      </c>
      <c r="D782" s="1" t="s">
        <v>340</v>
      </c>
      <c r="E782" s="1" t="s">
        <v>629</v>
      </c>
      <c r="F782" s="1" t="s">
        <v>342</v>
      </c>
      <c r="G782" s="1">
        <v>200</v>
      </c>
    </row>
    <row r="783" spans="1:7">
      <c r="A783" s="1" t="s">
        <v>2110</v>
      </c>
      <c r="B783" s="1" t="s">
        <v>2111</v>
      </c>
      <c r="C783" s="1" t="s">
        <v>531</v>
      </c>
      <c r="D783" s="1" t="s">
        <v>64</v>
      </c>
      <c r="E783" s="1" t="s">
        <v>532</v>
      </c>
      <c r="F783" s="1" t="s">
        <v>533</v>
      </c>
      <c r="G783" s="1">
        <v>250</v>
      </c>
    </row>
    <row r="784" spans="1:7">
      <c r="A784" s="1" t="s">
        <v>2112</v>
      </c>
      <c r="B784" s="1" t="s">
        <v>2113</v>
      </c>
      <c r="C784" s="1" t="s">
        <v>379</v>
      </c>
      <c r="D784" s="1" t="s">
        <v>340</v>
      </c>
      <c r="E784" s="1" t="s">
        <v>380</v>
      </c>
      <c r="F784" s="1" t="s">
        <v>381</v>
      </c>
      <c r="G784" s="1">
        <v>250</v>
      </c>
    </row>
    <row r="785" spans="1:7">
      <c r="A785" s="1" t="s">
        <v>2114</v>
      </c>
      <c r="B785" s="1" t="s">
        <v>2115</v>
      </c>
      <c r="C785" s="1" t="s">
        <v>339</v>
      </c>
      <c r="D785" s="1" t="s">
        <v>340</v>
      </c>
      <c r="E785" s="1" t="s">
        <v>715</v>
      </c>
      <c r="F785" s="1" t="s">
        <v>342</v>
      </c>
      <c r="G785" s="1">
        <v>100</v>
      </c>
    </row>
    <row r="786" spans="1:7">
      <c r="A786" s="1" t="s">
        <v>2116</v>
      </c>
      <c r="B786" s="1" t="s">
        <v>2117</v>
      </c>
      <c r="C786" s="1" t="s">
        <v>339</v>
      </c>
      <c r="D786" s="1" t="s">
        <v>340</v>
      </c>
      <c r="E786" s="1" t="s">
        <v>521</v>
      </c>
      <c r="F786" s="1" t="s">
        <v>342</v>
      </c>
      <c r="G786" s="1">
        <v>100</v>
      </c>
    </row>
    <row r="787" spans="1:7">
      <c r="A787" s="1" t="s">
        <v>2118</v>
      </c>
      <c r="B787" s="1" t="s">
        <v>2119</v>
      </c>
      <c r="C787" s="1" t="s">
        <v>339</v>
      </c>
      <c r="D787" s="1" t="s">
        <v>340</v>
      </c>
      <c r="E787" s="1" t="s">
        <v>404</v>
      </c>
      <c r="F787" s="1" t="s">
        <v>342</v>
      </c>
      <c r="G787" s="1">
        <v>125</v>
      </c>
    </row>
    <row r="788" spans="1:7">
      <c r="A788" s="1" t="s">
        <v>2120</v>
      </c>
      <c r="B788" s="1" t="s">
        <v>2121</v>
      </c>
      <c r="C788" s="1" t="s">
        <v>339</v>
      </c>
      <c r="D788" s="1" t="s">
        <v>340</v>
      </c>
      <c r="E788" s="1" t="s">
        <v>677</v>
      </c>
      <c r="F788" s="1" t="s">
        <v>342</v>
      </c>
      <c r="G788" s="1">
        <v>4700</v>
      </c>
    </row>
    <row r="789" spans="1:7">
      <c r="A789" s="1" t="s">
        <v>2122</v>
      </c>
      <c r="B789" s="1" t="s">
        <v>2123</v>
      </c>
      <c r="C789" s="1" t="s">
        <v>339</v>
      </c>
      <c r="D789" s="1" t="s">
        <v>340</v>
      </c>
      <c r="E789" s="1" t="s">
        <v>830</v>
      </c>
      <c r="F789" s="1" t="s">
        <v>342</v>
      </c>
      <c r="G789" s="1">
        <v>190</v>
      </c>
    </row>
    <row r="790" spans="1:7">
      <c r="A790" s="1" t="s">
        <v>2124</v>
      </c>
      <c r="B790" s="1" t="s">
        <v>2125</v>
      </c>
      <c r="C790" s="1" t="s">
        <v>339</v>
      </c>
      <c r="D790" s="1" t="s">
        <v>340</v>
      </c>
      <c r="E790" s="1" t="s">
        <v>341</v>
      </c>
      <c r="F790" s="1" t="s">
        <v>342</v>
      </c>
      <c r="G790" s="1">
        <v>490</v>
      </c>
    </row>
    <row r="791" spans="1:7">
      <c r="A791" s="1" t="s">
        <v>2126</v>
      </c>
      <c r="B791" s="1" t="s">
        <v>2127</v>
      </c>
      <c r="C791" s="1" t="s">
        <v>339</v>
      </c>
      <c r="D791" s="1" t="s">
        <v>340</v>
      </c>
      <c r="E791" s="1" t="s">
        <v>480</v>
      </c>
      <c r="F791" s="1" t="s">
        <v>342</v>
      </c>
      <c r="G791" s="1">
        <v>150</v>
      </c>
    </row>
    <row r="792" spans="1:7">
      <c r="A792" s="1" t="s">
        <v>2128</v>
      </c>
      <c r="B792" s="1" t="s">
        <v>2129</v>
      </c>
      <c r="C792" s="1" t="s">
        <v>339</v>
      </c>
      <c r="D792" s="1" t="s">
        <v>340</v>
      </c>
      <c r="E792" s="1" t="s">
        <v>390</v>
      </c>
      <c r="F792" s="1" t="s">
        <v>342</v>
      </c>
      <c r="G792" s="1">
        <v>100</v>
      </c>
    </row>
    <row r="793" spans="1:7">
      <c r="A793" s="1" t="s">
        <v>2130</v>
      </c>
      <c r="B793" s="1" t="s">
        <v>2131</v>
      </c>
      <c r="C793" s="1" t="s">
        <v>339</v>
      </c>
      <c r="D793" s="1" t="s">
        <v>340</v>
      </c>
      <c r="E793" s="1" t="s">
        <v>622</v>
      </c>
      <c r="F793" s="1" t="s">
        <v>342</v>
      </c>
      <c r="G793" s="1">
        <v>125</v>
      </c>
    </row>
    <row r="794" spans="1:7">
      <c r="A794" s="1" t="s">
        <v>2132</v>
      </c>
      <c r="B794" s="1" t="s">
        <v>2133</v>
      </c>
      <c r="C794" s="1" t="s">
        <v>339</v>
      </c>
      <c r="D794" s="1" t="s">
        <v>340</v>
      </c>
      <c r="E794" s="1" t="s">
        <v>457</v>
      </c>
      <c r="F794" s="1" t="s">
        <v>342</v>
      </c>
      <c r="G794" s="1">
        <v>150</v>
      </c>
    </row>
    <row r="795" spans="1:7">
      <c r="A795" s="1" t="s">
        <v>2134</v>
      </c>
      <c r="B795" s="1" t="s">
        <v>2135</v>
      </c>
      <c r="C795" s="1" t="s">
        <v>2136</v>
      </c>
      <c r="D795" s="1" t="s">
        <v>695</v>
      </c>
      <c r="E795" s="1" t="s">
        <v>2137</v>
      </c>
      <c r="F795" s="1" t="s">
        <v>342</v>
      </c>
      <c r="G795" s="1">
        <v>150</v>
      </c>
    </row>
    <row r="796" spans="1:7">
      <c r="A796" s="1" t="s">
        <v>2138</v>
      </c>
      <c r="B796" s="1" t="s">
        <v>2139</v>
      </c>
      <c r="C796" s="1" t="s">
        <v>339</v>
      </c>
      <c r="D796" s="1" t="s">
        <v>340</v>
      </c>
      <c r="E796" s="1" t="s">
        <v>404</v>
      </c>
      <c r="F796" s="1" t="s">
        <v>342</v>
      </c>
      <c r="G796" s="1">
        <v>165</v>
      </c>
    </row>
    <row r="797" spans="1:7">
      <c r="A797" s="1" t="s">
        <v>2140</v>
      </c>
      <c r="B797" s="1" t="s">
        <v>2141</v>
      </c>
      <c r="C797" s="1" t="s">
        <v>524</v>
      </c>
      <c r="D797" s="1" t="s">
        <v>340</v>
      </c>
      <c r="E797" s="1" t="s">
        <v>525</v>
      </c>
      <c r="F797" s="1" t="s">
        <v>526</v>
      </c>
      <c r="G797" s="1">
        <v>110</v>
      </c>
    </row>
    <row r="798" spans="1:7">
      <c r="A798" s="1" t="s">
        <v>2142</v>
      </c>
      <c r="B798" s="1" t="s">
        <v>2143</v>
      </c>
      <c r="C798" s="1" t="s">
        <v>349</v>
      </c>
      <c r="D798" s="1" t="s">
        <v>64</v>
      </c>
      <c r="E798" s="1" t="s">
        <v>350</v>
      </c>
      <c r="F798" s="1" t="s">
        <v>357</v>
      </c>
      <c r="G798" s="1">
        <v>150</v>
      </c>
    </row>
    <row r="799" spans="1:7">
      <c r="A799" s="1" t="s">
        <v>2144</v>
      </c>
      <c r="B799" s="1" t="s">
        <v>2145</v>
      </c>
      <c r="C799" s="1" t="s">
        <v>339</v>
      </c>
      <c r="D799" s="1" t="s">
        <v>340</v>
      </c>
      <c r="E799" s="1" t="s">
        <v>677</v>
      </c>
      <c r="F799" s="1" t="s">
        <v>357</v>
      </c>
      <c r="G799" s="1">
        <v>190</v>
      </c>
    </row>
    <row r="800" spans="1:7">
      <c r="A800" s="1" t="s">
        <v>2146</v>
      </c>
      <c r="B800" s="1" t="s">
        <v>2147</v>
      </c>
      <c r="C800" s="1" t="s">
        <v>362</v>
      </c>
      <c r="D800" s="1" t="s">
        <v>340</v>
      </c>
      <c r="E800" s="1" t="s">
        <v>430</v>
      </c>
      <c r="F800" s="1" t="s">
        <v>364</v>
      </c>
      <c r="G800" s="1">
        <v>150</v>
      </c>
    </row>
    <row r="801" spans="1:7">
      <c r="A801" s="1" t="s">
        <v>2148</v>
      </c>
      <c r="B801" s="1" t="s">
        <v>2149</v>
      </c>
      <c r="C801" s="1" t="s">
        <v>339</v>
      </c>
      <c r="D801" s="1" t="s">
        <v>340</v>
      </c>
      <c r="E801" s="1" t="s">
        <v>384</v>
      </c>
      <c r="F801" s="1" t="s">
        <v>342</v>
      </c>
      <c r="G801" s="1">
        <v>170</v>
      </c>
    </row>
    <row r="802" spans="1:7">
      <c r="A802" s="1" t="s">
        <v>2150</v>
      </c>
      <c r="B802" s="1" t="s">
        <v>2151</v>
      </c>
      <c r="C802" s="1" t="s">
        <v>436</v>
      </c>
      <c r="D802" s="1" t="s">
        <v>340</v>
      </c>
      <c r="E802" s="1" t="s">
        <v>1190</v>
      </c>
      <c r="F802" s="1" t="s">
        <v>565</v>
      </c>
      <c r="G802" s="1">
        <v>434</v>
      </c>
    </row>
    <row r="803" spans="1:7">
      <c r="A803" s="1" t="s">
        <v>2152</v>
      </c>
      <c r="B803" s="1" t="s">
        <v>2153</v>
      </c>
      <c r="C803" s="1" t="s">
        <v>345</v>
      </c>
      <c r="D803" s="1" t="s">
        <v>340</v>
      </c>
      <c r="E803" s="1" t="s">
        <v>567</v>
      </c>
      <c r="F803" s="1" t="s">
        <v>347</v>
      </c>
      <c r="G803" s="1">
        <v>100</v>
      </c>
    </row>
    <row r="804" spans="1:7">
      <c r="A804" s="1" t="s">
        <v>2154</v>
      </c>
      <c r="B804" s="1" t="s">
        <v>2155</v>
      </c>
      <c r="C804" s="1" t="s">
        <v>339</v>
      </c>
      <c r="D804" s="1" t="s">
        <v>340</v>
      </c>
      <c r="E804" s="1" t="s">
        <v>677</v>
      </c>
      <c r="F804" s="1" t="s">
        <v>342</v>
      </c>
      <c r="G804" s="1">
        <v>100</v>
      </c>
    </row>
    <row r="805" spans="1:7">
      <c r="A805" s="1" t="s">
        <v>2156</v>
      </c>
      <c r="B805" s="1" t="s">
        <v>2157</v>
      </c>
      <c r="C805" s="1" t="s">
        <v>339</v>
      </c>
      <c r="D805" s="1" t="s">
        <v>340</v>
      </c>
      <c r="E805" s="1" t="s">
        <v>390</v>
      </c>
      <c r="F805" s="1" t="s">
        <v>342</v>
      </c>
      <c r="G805" s="1">
        <v>190</v>
      </c>
    </row>
    <row r="806" spans="1:7">
      <c r="A806" s="1" t="s">
        <v>2158</v>
      </c>
      <c r="B806" s="1" t="s">
        <v>2159</v>
      </c>
      <c r="C806" s="1" t="s">
        <v>625</v>
      </c>
      <c r="D806" s="1" t="s">
        <v>340</v>
      </c>
      <c r="E806" s="1" t="s">
        <v>1177</v>
      </c>
      <c r="F806" s="1" t="s">
        <v>419</v>
      </c>
      <c r="G806" s="1">
        <v>100</v>
      </c>
    </row>
    <row r="807" spans="1:7">
      <c r="A807" s="1" t="s">
        <v>260</v>
      </c>
      <c r="B807" s="1" t="s">
        <v>2160</v>
      </c>
      <c r="C807" s="1" t="s">
        <v>339</v>
      </c>
      <c r="D807" s="1" t="s">
        <v>340</v>
      </c>
      <c r="E807" s="1" t="s">
        <v>404</v>
      </c>
      <c r="F807" s="1" t="s">
        <v>342</v>
      </c>
      <c r="G807" s="1">
        <v>140</v>
      </c>
    </row>
    <row r="808" spans="1:7">
      <c r="A808" s="1" t="s">
        <v>2161</v>
      </c>
      <c r="B808" s="1" t="s">
        <v>2162</v>
      </c>
      <c r="C808" s="1" t="s">
        <v>460</v>
      </c>
      <c r="D808" s="1" t="s">
        <v>340</v>
      </c>
      <c r="E808" s="1" t="s">
        <v>461</v>
      </c>
      <c r="F808" s="1" t="s">
        <v>342</v>
      </c>
      <c r="G808" s="1">
        <v>500</v>
      </c>
    </row>
    <row r="809" spans="1:7">
      <c r="A809" s="1" t="s">
        <v>2163</v>
      </c>
      <c r="B809" s="1" t="s">
        <v>2164</v>
      </c>
      <c r="C809" s="1" t="s">
        <v>339</v>
      </c>
      <c r="D809" s="1" t="s">
        <v>340</v>
      </c>
      <c r="E809" s="1" t="s">
        <v>594</v>
      </c>
      <c r="F809" s="1" t="s">
        <v>342</v>
      </c>
      <c r="G809" s="1">
        <v>100</v>
      </c>
    </row>
    <row r="810" spans="1:7">
      <c r="A810" s="1" t="s">
        <v>2165</v>
      </c>
      <c r="B810" s="1" t="s">
        <v>2166</v>
      </c>
      <c r="C810" s="1" t="s">
        <v>339</v>
      </c>
      <c r="D810" s="1" t="s">
        <v>340</v>
      </c>
      <c r="E810" s="1" t="s">
        <v>1303</v>
      </c>
      <c r="F810" s="1" t="s">
        <v>342</v>
      </c>
      <c r="G810" s="1">
        <v>145</v>
      </c>
    </row>
    <row r="811" spans="1:7">
      <c r="A811" s="1" t="s">
        <v>2167</v>
      </c>
      <c r="B811" s="1" t="s">
        <v>2168</v>
      </c>
      <c r="C811" s="1" t="s">
        <v>339</v>
      </c>
      <c r="D811" s="1" t="s">
        <v>340</v>
      </c>
      <c r="E811" s="1" t="s">
        <v>830</v>
      </c>
      <c r="F811" s="1" t="s">
        <v>342</v>
      </c>
      <c r="G811" s="1">
        <v>100</v>
      </c>
    </row>
    <row r="812" spans="1:7">
      <c r="A812" s="1" t="s">
        <v>2169</v>
      </c>
      <c r="B812" s="1" t="s">
        <v>2170</v>
      </c>
      <c r="C812" s="1" t="s">
        <v>339</v>
      </c>
      <c r="D812" s="1" t="s">
        <v>340</v>
      </c>
      <c r="E812" s="1" t="s">
        <v>1457</v>
      </c>
      <c r="F812" s="1" t="s">
        <v>342</v>
      </c>
      <c r="G812" s="1">
        <v>200</v>
      </c>
    </row>
    <row r="813" spans="1:7">
      <c r="A813" s="1" t="s">
        <v>2171</v>
      </c>
      <c r="B813" s="1" t="s">
        <v>2172</v>
      </c>
      <c r="C813" s="1" t="s">
        <v>339</v>
      </c>
      <c r="D813" s="1" t="s">
        <v>340</v>
      </c>
      <c r="E813" s="1" t="s">
        <v>830</v>
      </c>
      <c r="F813" s="1" t="s">
        <v>342</v>
      </c>
      <c r="G813" s="1">
        <v>150</v>
      </c>
    </row>
    <row r="814" spans="1:7">
      <c r="A814" s="1" t="s">
        <v>2173</v>
      </c>
      <c r="B814" s="1" t="s">
        <v>2174</v>
      </c>
      <c r="C814" s="1" t="s">
        <v>436</v>
      </c>
      <c r="D814" s="1" t="s">
        <v>340</v>
      </c>
      <c r="E814" s="1" t="s">
        <v>437</v>
      </c>
      <c r="F814" s="1" t="s">
        <v>565</v>
      </c>
      <c r="G814" s="1">
        <v>150</v>
      </c>
    </row>
    <row r="815" spans="1:7">
      <c r="A815" s="1" t="s">
        <v>2175</v>
      </c>
      <c r="B815" s="1" t="s">
        <v>2176</v>
      </c>
      <c r="C815" s="1" t="s">
        <v>723</v>
      </c>
      <c r="D815" s="1" t="s">
        <v>340</v>
      </c>
      <c r="E815" s="1" t="s">
        <v>1284</v>
      </c>
      <c r="F815" s="1" t="s">
        <v>364</v>
      </c>
      <c r="G815" s="1">
        <v>100</v>
      </c>
    </row>
    <row r="816" spans="1:7">
      <c r="A816" s="1" t="s">
        <v>2177</v>
      </c>
      <c r="B816" s="1" t="s">
        <v>2178</v>
      </c>
      <c r="C816" s="1" t="s">
        <v>2179</v>
      </c>
      <c r="D816" s="1" t="s">
        <v>340</v>
      </c>
      <c r="E816" s="1" t="s">
        <v>2180</v>
      </c>
      <c r="F816" s="1" t="s">
        <v>427</v>
      </c>
      <c r="G816" s="1">
        <v>365</v>
      </c>
    </row>
    <row r="817" spans="1:7">
      <c r="A817" s="1" t="s">
        <v>2181</v>
      </c>
      <c r="B817" s="1" t="s">
        <v>2182</v>
      </c>
      <c r="C817" s="1" t="s">
        <v>339</v>
      </c>
      <c r="D817" s="1" t="s">
        <v>340</v>
      </c>
      <c r="E817" s="1" t="s">
        <v>480</v>
      </c>
      <c r="F817" s="1" t="s">
        <v>342</v>
      </c>
      <c r="G817" s="1">
        <v>1600</v>
      </c>
    </row>
    <row r="818" spans="1:7">
      <c r="A818" s="1" t="s">
        <v>2183</v>
      </c>
      <c r="B818" s="1" t="s">
        <v>2184</v>
      </c>
      <c r="C818" s="1" t="s">
        <v>339</v>
      </c>
      <c r="D818" s="1" t="s">
        <v>340</v>
      </c>
      <c r="E818" s="1" t="s">
        <v>594</v>
      </c>
      <c r="F818" s="1" t="s">
        <v>342</v>
      </c>
      <c r="G818" s="1">
        <v>232</v>
      </c>
    </row>
    <row r="819" spans="1:7">
      <c r="A819" s="1" t="s">
        <v>2185</v>
      </c>
      <c r="B819" s="1" t="s">
        <v>2186</v>
      </c>
      <c r="C819" s="1" t="s">
        <v>339</v>
      </c>
      <c r="D819" s="1" t="s">
        <v>340</v>
      </c>
      <c r="E819" s="1" t="s">
        <v>384</v>
      </c>
      <c r="F819" s="1" t="s">
        <v>342</v>
      </c>
      <c r="G819" s="1">
        <v>200</v>
      </c>
    </row>
    <row r="820" spans="1:7">
      <c r="A820" s="1" t="s">
        <v>2187</v>
      </c>
      <c r="B820" s="1" t="s">
        <v>2188</v>
      </c>
      <c r="C820" s="1" t="s">
        <v>666</v>
      </c>
      <c r="D820" s="1" t="s">
        <v>340</v>
      </c>
      <c r="E820" s="1" t="s">
        <v>667</v>
      </c>
      <c r="F820" s="1" t="s">
        <v>558</v>
      </c>
      <c r="G820" s="1">
        <v>150</v>
      </c>
    </row>
    <row r="821" spans="1:7">
      <c r="A821" s="1" t="s">
        <v>2189</v>
      </c>
      <c r="B821" s="1" t="s">
        <v>2190</v>
      </c>
      <c r="C821" s="1" t="s">
        <v>339</v>
      </c>
      <c r="D821" s="1" t="s">
        <v>340</v>
      </c>
      <c r="E821" s="1" t="s">
        <v>341</v>
      </c>
      <c r="F821" s="1" t="s">
        <v>357</v>
      </c>
      <c r="G821" s="1">
        <v>200</v>
      </c>
    </row>
    <row r="822" spans="1:7">
      <c r="A822" s="1" t="s">
        <v>2191</v>
      </c>
      <c r="B822" s="1" t="s">
        <v>2192</v>
      </c>
      <c r="C822" s="1" t="s">
        <v>362</v>
      </c>
      <c r="D822" s="1" t="s">
        <v>340</v>
      </c>
      <c r="E822" s="1" t="s">
        <v>518</v>
      </c>
      <c r="F822" s="1" t="s">
        <v>364</v>
      </c>
      <c r="G822" s="1">
        <v>423</v>
      </c>
    </row>
    <row r="823" spans="1:7">
      <c r="A823" s="1" t="s">
        <v>2193</v>
      </c>
      <c r="B823" s="1" t="s">
        <v>2194</v>
      </c>
      <c r="C823" s="1" t="s">
        <v>447</v>
      </c>
      <c r="D823" s="1" t="s">
        <v>340</v>
      </c>
      <c r="E823" s="1" t="s">
        <v>448</v>
      </c>
      <c r="F823" s="1" t="s">
        <v>449</v>
      </c>
      <c r="G823" s="1">
        <v>700</v>
      </c>
    </row>
    <row r="824" spans="1:7">
      <c r="A824" s="1" t="s">
        <v>2195</v>
      </c>
      <c r="B824" s="1" t="s">
        <v>2196</v>
      </c>
      <c r="C824" s="1" t="s">
        <v>362</v>
      </c>
      <c r="D824" s="1" t="s">
        <v>340</v>
      </c>
      <c r="E824" s="1" t="s">
        <v>430</v>
      </c>
      <c r="F824" s="1" t="s">
        <v>364</v>
      </c>
      <c r="G824" s="1">
        <v>100</v>
      </c>
    </row>
    <row r="825" spans="1:7">
      <c r="A825" s="1" t="s">
        <v>2197</v>
      </c>
      <c r="B825" s="1" t="s">
        <v>2198</v>
      </c>
      <c r="C825" s="1" t="s">
        <v>339</v>
      </c>
      <c r="D825" s="1" t="s">
        <v>340</v>
      </c>
      <c r="E825" s="1" t="s">
        <v>613</v>
      </c>
      <c r="F825" s="1" t="s">
        <v>342</v>
      </c>
      <c r="G825" s="1">
        <v>200</v>
      </c>
    </row>
    <row r="826" spans="1:7">
      <c r="A826" s="1" t="s">
        <v>2199</v>
      </c>
      <c r="B826" s="1" t="s">
        <v>1118</v>
      </c>
      <c r="C826" s="1" t="s">
        <v>379</v>
      </c>
      <c r="D826" s="1" t="s">
        <v>340</v>
      </c>
      <c r="E826" s="1" t="s">
        <v>1138</v>
      </c>
      <c r="F826" s="1" t="s">
        <v>381</v>
      </c>
      <c r="G826" s="1">
        <v>400</v>
      </c>
    </row>
    <row r="827" spans="1:7">
      <c r="A827" s="1" t="s">
        <v>2200</v>
      </c>
      <c r="B827" s="1" t="s">
        <v>2201</v>
      </c>
      <c r="C827" s="1" t="s">
        <v>339</v>
      </c>
      <c r="D827" s="1" t="s">
        <v>340</v>
      </c>
      <c r="E827" s="1" t="s">
        <v>783</v>
      </c>
      <c r="F827" s="1" t="s">
        <v>342</v>
      </c>
      <c r="G827" s="1">
        <v>100</v>
      </c>
    </row>
    <row r="828" spans="1:7">
      <c r="A828" s="1" t="s">
        <v>2202</v>
      </c>
      <c r="B828" s="1" t="s">
        <v>2203</v>
      </c>
      <c r="C828" s="1" t="s">
        <v>412</v>
      </c>
      <c r="D828" s="1" t="s">
        <v>340</v>
      </c>
      <c r="E828" s="1" t="s">
        <v>413</v>
      </c>
      <c r="F828" s="1" t="s">
        <v>414</v>
      </c>
      <c r="G828" s="1">
        <v>150</v>
      </c>
    </row>
    <row r="829" spans="1:7">
      <c r="A829" s="1" t="s">
        <v>2204</v>
      </c>
      <c r="B829" s="1" t="s">
        <v>2205</v>
      </c>
      <c r="C829" s="1" t="s">
        <v>412</v>
      </c>
      <c r="D829" s="1" t="s">
        <v>340</v>
      </c>
      <c r="E829" s="1" t="s">
        <v>586</v>
      </c>
      <c r="F829" s="1" t="s">
        <v>414</v>
      </c>
      <c r="G829" s="1">
        <v>125</v>
      </c>
    </row>
    <row r="830" spans="1:7">
      <c r="A830" s="1" t="s">
        <v>2206</v>
      </c>
      <c r="B830" s="1" t="s">
        <v>2207</v>
      </c>
      <c r="C830" s="1" t="s">
        <v>339</v>
      </c>
      <c r="D830" s="1" t="s">
        <v>340</v>
      </c>
      <c r="E830" s="1" t="s">
        <v>577</v>
      </c>
      <c r="F830" s="1" t="s">
        <v>357</v>
      </c>
      <c r="G830" s="1">
        <v>160</v>
      </c>
    </row>
    <row r="831" spans="1:7">
      <c r="A831" s="1" t="s">
        <v>2208</v>
      </c>
      <c r="B831" s="1" t="s">
        <v>2209</v>
      </c>
      <c r="C831" s="1" t="s">
        <v>339</v>
      </c>
      <c r="D831" s="1" t="s">
        <v>340</v>
      </c>
      <c r="E831" s="1" t="s">
        <v>677</v>
      </c>
      <c r="F831" s="1" t="s">
        <v>342</v>
      </c>
      <c r="G831" s="1">
        <v>405</v>
      </c>
    </row>
    <row r="832" spans="1:7">
      <c r="A832" s="1" t="s">
        <v>2210</v>
      </c>
      <c r="B832" s="1" t="s">
        <v>2211</v>
      </c>
      <c r="C832" s="1" t="s">
        <v>723</v>
      </c>
      <c r="D832" s="1" t="s">
        <v>340</v>
      </c>
      <c r="E832" s="1" t="s">
        <v>724</v>
      </c>
      <c r="F832" s="1" t="s">
        <v>364</v>
      </c>
      <c r="G832" s="1">
        <v>650</v>
      </c>
    </row>
    <row r="833" spans="1:7">
      <c r="A833" s="1" t="s">
        <v>2212</v>
      </c>
      <c r="B833" s="1" t="s">
        <v>1213</v>
      </c>
      <c r="C833" s="1" t="s">
        <v>666</v>
      </c>
      <c r="D833" s="1" t="s">
        <v>340</v>
      </c>
      <c r="E833" s="1" t="s">
        <v>667</v>
      </c>
      <c r="F833" s="1" t="s">
        <v>357</v>
      </c>
      <c r="G833" s="1">
        <v>450</v>
      </c>
    </row>
    <row r="834" spans="1:7">
      <c r="A834" s="1" t="s">
        <v>261</v>
      </c>
      <c r="B834" s="1" t="s">
        <v>2213</v>
      </c>
      <c r="C834" s="1" t="s">
        <v>339</v>
      </c>
      <c r="D834" s="1" t="s">
        <v>340</v>
      </c>
      <c r="E834" s="1" t="s">
        <v>341</v>
      </c>
      <c r="F834" s="1" t="s">
        <v>342</v>
      </c>
      <c r="G834" s="1">
        <v>152</v>
      </c>
    </row>
    <row r="835" spans="1:7">
      <c r="A835" s="1" t="s">
        <v>2214</v>
      </c>
      <c r="B835" s="1" t="s">
        <v>2215</v>
      </c>
      <c r="C835" s="1" t="s">
        <v>339</v>
      </c>
      <c r="D835" s="1" t="s">
        <v>340</v>
      </c>
      <c r="E835" s="1" t="s">
        <v>809</v>
      </c>
      <c r="F835" s="1" t="s">
        <v>342</v>
      </c>
      <c r="G835" s="1">
        <v>100</v>
      </c>
    </row>
    <row r="836" spans="1:7">
      <c r="A836" s="1" t="s">
        <v>2216</v>
      </c>
      <c r="B836" s="1" t="s">
        <v>2217</v>
      </c>
      <c r="C836" s="1" t="s">
        <v>2218</v>
      </c>
      <c r="D836" s="1" t="s">
        <v>64</v>
      </c>
      <c r="E836" s="1" t="s">
        <v>2219</v>
      </c>
      <c r="F836" s="1" t="s">
        <v>584</v>
      </c>
      <c r="G836" s="1">
        <v>105</v>
      </c>
    </row>
    <row r="837" spans="1:7">
      <c r="A837" s="1" t="s">
        <v>2220</v>
      </c>
      <c r="B837" s="1" t="s">
        <v>2221</v>
      </c>
      <c r="C837" s="1" t="s">
        <v>833</v>
      </c>
      <c r="D837" s="1" t="s">
        <v>340</v>
      </c>
      <c r="E837" s="1" t="s">
        <v>834</v>
      </c>
      <c r="F837" s="1" t="s">
        <v>513</v>
      </c>
      <c r="G837" s="1">
        <v>300</v>
      </c>
    </row>
    <row r="838" spans="1:7">
      <c r="A838" s="1" t="s">
        <v>2222</v>
      </c>
      <c r="B838" s="1" t="s">
        <v>2223</v>
      </c>
      <c r="C838" s="1" t="s">
        <v>339</v>
      </c>
      <c r="D838" s="1" t="s">
        <v>340</v>
      </c>
      <c r="E838" s="1" t="s">
        <v>1457</v>
      </c>
      <c r="F838" s="1" t="s">
        <v>342</v>
      </c>
      <c r="G838" s="1">
        <v>281</v>
      </c>
    </row>
    <row r="839" spans="1:7">
      <c r="A839" s="1" t="s">
        <v>2224</v>
      </c>
      <c r="B839" s="1" t="s">
        <v>2225</v>
      </c>
      <c r="C839" s="1" t="s">
        <v>511</v>
      </c>
      <c r="D839" s="1" t="s">
        <v>340</v>
      </c>
      <c r="E839" s="1" t="s">
        <v>536</v>
      </c>
      <c r="F839" s="1" t="s">
        <v>513</v>
      </c>
      <c r="G839" s="1">
        <v>410</v>
      </c>
    </row>
    <row r="840" spans="1:7">
      <c r="A840" s="1" t="s">
        <v>2226</v>
      </c>
      <c r="B840" s="1" t="s">
        <v>2227</v>
      </c>
      <c r="C840" s="1" t="s">
        <v>2228</v>
      </c>
      <c r="D840" s="1" t="s">
        <v>2229</v>
      </c>
      <c r="E840" s="1" t="s">
        <v>2230</v>
      </c>
      <c r="F840" s="1" t="s">
        <v>357</v>
      </c>
      <c r="G840" s="1">
        <v>147</v>
      </c>
    </row>
    <row r="841" spans="1:7">
      <c r="A841" s="1" t="s">
        <v>2231</v>
      </c>
      <c r="B841" s="1" t="s">
        <v>2232</v>
      </c>
      <c r="C841" s="1" t="s">
        <v>436</v>
      </c>
      <c r="D841" s="1" t="s">
        <v>340</v>
      </c>
      <c r="E841" s="1" t="s">
        <v>610</v>
      </c>
      <c r="F841" s="1" t="s">
        <v>565</v>
      </c>
      <c r="G841" s="1">
        <v>150</v>
      </c>
    </row>
    <row r="842" spans="1:7">
      <c r="A842" s="1" t="s">
        <v>2233</v>
      </c>
      <c r="B842" s="1" t="s">
        <v>2234</v>
      </c>
      <c r="C842" s="1" t="s">
        <v>339</v>
      </c>
      <c r="D842" s="1" t="s">
        <v>340</v>
      </c>
      <c r="E842" s="1" t="s">
        <v>404</v>
      </c>
      <c r="F842" s="1" t="s">
        <v>342</v>
      </c>
      <c r="G842" s="1">
        <v>120</v>
      </c>
    </row>
    <row r="843" spans="1:7">
      <c r="A843" s="1" t="s">
        <v>2235</v>
      </c>
      <c r="B843" s="1" t="s">
        <v>2236</v>
      </c>
      <c r="C843" s="1" t="s">
        <v>467</v>
      </c>
      <c r="D843" s="1" t="s">
        <v>64</v>
      </c>
      <c r="E843" s="1" t="s">
        <v>546</v>
      </c>
      <c r="F843" s="1" t="s">
        <v>351</v>
      </c>
      <c r="G843" s="1">
        <v>517</v>
      </c>
    </row>
    <row r="844" spans="1:7">
      <c r="A844" s="1" t="s">
        <v>2237</v>
      </c>
      <c r="B844" s="1" t="s">
        <v>2238</v>
      </c>
      <c r="C844" s="1" t="s">
        <v>339</v>
      </c>
      <c r="D844" s="1" t="s">
        <v>340</v>
      </c>
      <c r="E844" s="1" t="s">
        <v>577</v>
      </c>
      <c r="F844" s="1" t="s">
        <v>342</v>
      </c>
      <c r="G844" s="1">
        <v>100</v>
      </c>
    </row>
    <row r="845" spans="1:7">
      <c r="A845" s="1" t="s">
        <v>2239</v>
      </c>
      <c r="B845" s="1" t="s">
        <v>2240</v>
      </c>
      <c r="C845" s="1" t="s">
        <v>339</v>
      </c>
      <c r="D845" s="1" t="s">
        <v>340</v>
      </c>
      <c r="E845" s="1" t="s">
        <v>384</v>
      </c>
      <c r="F845" s="1" t="s">
        <v>342</v>
      </c>
      <c r="G845" s="1">
        <v>130</v>
      </c>
    </row>
    <row r="846" spans="1:7">
      <c r="A846" s="1" t="s">
        <v>2241</v>
      </c>
      <c r="B846" s="1" t="s">
        <v>2242</v>
      </c>
      <c r="C846" s="1" t="s">
        <v>723</v>
      </c>
      <c r="D846" s="1" t="s">
        <v>340</v>
      </c>
      <c r="E846" s="1" t="s">
        <v>1284</v>
      </c>
      <c r="F846" s="1" t="s">
        <v>364</v>
      </c>
      <c r="G846" s="1">
        <v>200</v>
      </c>
    </row>
    <row r="847" spans="1:7">
      <c r="A847" s="1" t="s">
        <v>2243</v>
      </c>
      <c r="B847" s="1" t="s">
        <v>2244</v>
      </c>
      <c r="C847" s="1" t="s">
        <v>339</v>
      </c>
      <c r="D847" s="1" t="s">
        <v>340</v>
      </c>
      <c r="E847" s="1" t="s">
        <v>613</v>
      </c>
      <c r="F847" s="1" t="s">
        <v>342</v>
      </c>
      <c r="G847" s="1">
        <v>220</v>
      </c>
    </row>
    <row r="848" spans="1:7">
      <c r="A848" s="1" t="s">
        <v>262</v>
      </c>
      <c r="B848" s="1" t="s">
        <v>2245</v>
      </c>
      <c r="C848" s="1" t="s">
        <v>339</v>
      </c>
      <c r="D848" s="1" t="s">
        <v>340</v>
      </c>
      <c r="E848" s="1" t="s">
        <v>373</v>
      </c>
      <c r="F848" s="1" t="s">
        <v>342</v>
      </c>
      <c r="G848" s="1">
        <v>250</v>
      </c>
    </row>
    <row r="849" spans="1:7">
      <c r="A849" s="1" t="s">
        <v>2246</v>
      </c>
      <c r="B849" s="1" t="s">
        <v>2247</v>
      </c>
      <c r="C849" s="1" t="s">
        <v>436</v>
      </c>
      <c r="D849" s="1" t="s">
        <v>340</v>
      </c>
      <c r="E849" s="1" t="s">
        <v>1190</v>
      </c>
      <c r="F849" s="1" t="s">
        <v>565</v>
      </c>
      <c r="G849" s="1">
        <v>200</v>
      </c>
    </row>
    <row r="850" spans="1:7">
      <c r="A850" s="1" t="s">
        <v>2248</v>
      </c>
      <c r="B850" s="1" t="s">
        <v>2249</v>
      </c>
      <c r="C850" s="1" t="s">
        <v>345</v>
      </c>
      <c r="D850" s="1" t="s">
        <v>340</v>
      </c>
      <c r="E850" s="1" t="s">
        <v>422</v>
      </c>
      <c r="F850" s="1" t="s">
        <v>347</v>
      </c>
      <c r="G850" s="1">
        <v>316</v>
      </c>
    </row>
    <row r="851" spans="1:7">
      <c r="A851" s="1" t="s">
        <v>2250</v>
      </c>
      <c r="B851" s="1" t="s">
        <v>2251</v>
      </c>
      <c r="C851" s="1" t="s">
        <v>723</v>
      </c>
      <c r="D851" s="1" t="s">
        <v>340</v>
      </c>
      <c r="E851" s="1" t="s">
        <v>1284</v>
      </c>
      <c r="F851" s="1" t="s">
        <v>364</v>
      </c>
      <c r="G851" s="1">
        <v>250</v>
      </c>
    </row>
    <row r="852" spans="1:7">
      <c r="A852" s="1" t="s">
        <v>2252</v>
      </c>
      <c r="B852" s="1" t="s">
        <v>2253</v>
      </c>
      <c r="C852" s="1" t="s">
        <v>339</v>
      </c>
      <c r="D852" s="1" t="s">
        <v>340</v>
      </c>
      <c r="E852" s="1" t="s">
        <v>753</v>
      </c>
      <c r="F852" s="1" t="s">
        <v>342</v>
      </c>
      <c r="G852" s="1">
        <v>300</v>
      </c>
    </row>
    <row r="853" spans="1:7">
      <c r="A853" s="1" t="s">
        <v>2254</v>
      </c>
      <c r="B853" s="1" t="s">
        <v>2255</v>
      </c>
      <c r="C853" s="1" t="s">
        <v>339</v>
      </c>
      <c r="D853" s="1" t="s">
        <v>340</v>
      </c>
      <c r="E853" s="1" t="s">
        <v>454</v>
      </c>
      <c r="F853" s="1" t="s">
        <v>342</v>
      </c>
      <c r="G853" s="1">
        <v>130</v>
      </c>
    </row>
    <row r="854" spans="1:7">
      <c r="A854" s="1" t="s">
        <v>263</v>
      </c>
      <c r="B854" s="1" t="s">
        <v>2256</v>
      </c>
      <c r="C854" s="1" t="s">
        <v>339</v>
      </c>
      <c r="D854" s="1" t="s">
        <v>340</v>
      </c>
      <c r="E854" s="1" t="s">
        <v>613</v>
      </c>
      <c r="F854" s="1" t="s">
        <v>342</v>
      </c>
      <c r="G854" s="1">
        <v>200</v>
      </c>
    </row>
    <row r="855" spans="1:7">
      <c r="A855" s="1" t="s">
        <v>2257</v>
      </c>
      <c r="B855" s="1" t="s">
        <v>2258</v>
      </c>
      <c r="C855" s="1" t="s">
        <v>339</v>
      </c>
      <c r="D855" s="1" t="s">
        <v>340</v>
      </c>
      <c r="E855" s="1" t="s">
        <v>341</v>
      </c>
      <c r="F855" s="1" t="s">
        <v>342</v>
      </c>
      <c r="G855" s="1">
        <v>104</v>
      </c>
    </row>
    <row r="856" spans="1:7">
      <c r="A856" s="1" t="s">
        <v>2259</v>
      </c>
      <c r="B856" s="1" t="s">
        <v>2260</v>
      </c>
      <c r="C856" s="1" t="s">
        <v>436</v>
      </c>
      <c r="D856" s="1" t="s">
        <v>340</v>
      </c>
      <c r="E856" s="1" t="s">
        <v>771</v>
      </c>
      <c r="F856" s="1" t="s">
        <v>565</v>
      </c>
      <c r="G856" s="1">
        <v>210</v>
      </c>
    </row>
    <row r="857" spans="1:7">
      <c r="A857" s="1" t="s">
        <v>2261</v>
      </c>
      <c r="B857" s="1" t="s">
        <v>2262</v>
      </c>
      <c r="C857" s="1" t="s">
        <v>349</v>
      </c>
      <c r="D857" s="1" t="s">
        <v>64</v>
      </c>
      <c r="E857" s="1" t="s">
        <v>1983</v>
      </c>
      <c r="F857" s="1" t="s">
        <v>351</v>
      </c>
      <c r="G857" s="1">
        <v>283</v>
      </c>
    </row>
    <row r="858" spans="1:7">
      <c r="A858" s="1" t="s">
        <v>2263</v>
      </c>
      <c r="B858" s="1" t="s">
        <v>2264</v>
      </c>
      <c r="C858" s="1" t="s">
        <v>666</v>
      </c>
      <c r="D858" s="1" t="s">
        <v>340</v>
      </c>
      <c r="E858" s="1" t="s">
        <v>667</v>
      </c>
      <c r="F858" s="1" t="s">
        <v>558</v>
      </c>
      <c r="G858" s="1">
        <v>540</v>
      </c>
    </row>
    <row r="859" spans="1:7">
      <c r="A859" s="1" t="s">
        <v>2265</v>
      </c>
      <c r="B859" s="1" t="s">
        <v>1791</v>
      </c>
      <c r="C859" s="1" t="s">
        <v>723</v>
      </c>
      <c r="D859" s="1" t="s">
        <v>340</v>
      </c>
      <c r="E859" s="1" t="s">
        <v>724</v>
      </c>
      <c r="F859" s="1" t="s">
        <v>364</v>
      </c>
      <c r="G859" s="1">
        <v>200</v>
      </c>
    </row>
    <row r="860" spans="1:7">
      <c r="A860" s="1" t="s">
        <v>2266</v>
      </c>
      <c r="B860" s="1" t="s">
        <v>2267</v>
      </c>
      <c r="C860" s="1" t="s">
        <v>511</v>
      </c>
      <c r="D860" s="1" t="s">
        <v>340</v>
      </c>
      <c r="E860" s="1" t="s">
        <v>536</v>
      </c>
      <c r="F860" s="1" t="s">
        <v>513</v>
      </c>
      <c r="G860" s="1">
        <v>100</v>
      </c>
    </row>
    <row r="861" spans="1:7">
      <c r="A861" s="1" t="s">
        <v>2268</v>
      </c>
      <c r="B861" s="1" t="s">
        <v>2269</v>
      </c>
      <c r="C861" s="1" t="s">
        <v>436</v>
      </c>
      <c r="D861" s="1" t="s">
        <v>340</v>
      </c>
      <c r="E861" s="1" t="s">
        <v>771</v>
      </c>
      <c r="F861" s="1" t="s">
        <v>565</v>
      </c>
      <c r="G861" s="1">
        <v>260</v>
      </c>
    </row>
    <row r="862" spans="1:7">
      <c r="A862" s="1" t="s">
        <v>2270</v>
      </c>
      <c r="B862" s="1" t="s">
        <v>2042</v>
      </c>
      <c r="C862" s="1" t="s">
        <v>339</v>
      </c>
      <c r="D862" s="1" t="s">
        <v>340</v>
      </c>
      <c r="E862" s="1" t="s">
        <v>613</v>
      </c>
      <c r="F862" s="1" t="s">
        <v>342</v>
      </c>
      <c r="G862" s="1">
        <v>300</v>
      </c>
    </row>
    <row r="863" spans="1:7">
      <c r="A863" s="1" t="s">
        <v>264</v>
      </c>
      <c r="B863" s="1" t="s">
        <v>2271</v>
      </c>
      <c r="C863" s="1" t="s">
        <v>339</v>
      </c>
      <c r="D863" s="1" t="s">
        <v>340</v>
      </c>
      <c r="E863" s="1" t="s">
        <v>830</v>
      </c>
      <c r="F863" s="1" t="s">
        <v>342</v>
      </c>
      <c r="G863" s="1">
        <v>500</v>
      </c>
    </row>
    <row r="864" spans="1:7">
      <c r="A864" s="1" t="s">
        <v>2272</v>
      </c>
      <c r="B864" s="1" t="s">
        <v>2273</v>
      </c>
      <c r="C864" s="1" t="s">
        <v>339</v>
      </c>
      <c r="D864" s="1" t="s">
        <v>340</v>
      </c>
      <c r="E864" s="1" t="s">
        <v>1303</v>
      </c>
      <c r="F864" s="1" t="s">
        <v>342</v>
      </c>
      <c r="G864" s="1">
        <v>100</v>
      </c>
    </row>
    <row r="865" spans="1:7">
      <c r="A865" s="1" t="s">
        <v>2274</v>
      </c>
      <c r="B865" s="1" t="s">
        <v>2275</v>
      </c>
      <c r="C865" s="1" t="s">
        <v>339</v>
      </c>
      <c r="D865" s="1" t="s">
        <v>340</v>
      </c>
      <c r="E865" s="1" t="s">
        <v>594</v>
      </c>
      <c r="F865" s="1" t="s">
        <v>357</v>
      </c>
      <c r="G865" s="1">
        <v>100</v>
      </c>
    </row>
    <row r="866" spans="1:7">
      <c r="A866" s="1" t="s">
        <v>2276</v>
      </c>
      <c r="B866" s="1" t="s">
        <v>2277</v>
      </c>
      <c r="C866" s="1" t="s">
        <v>2090</v>
      </c>
      <c r="D866" s="1" t="s">
        <v>340</v>
      </c>
      <c r="E866" s="1" t="s">
        <v>2278</v>
      </c>
      <c r="F866" s="1" t="s">
        <v>357</v>
      </c>
      <c r="G866" s="1">
        <v>7479</v>
      </c>
    </row>
    <row r="867" spans="1:7">
      <c r="A867" s="1" t="s">
        <v>2279</v>
      </c>
      <c r="B867" s="1" t="s">
        <v>2280</v>
      </c>
      <c r="C867" s="1" t="s">
        <v>467</v>
      </c>
      <c r="D867" s="1" t="s">
        <v>64</v>
      </c>
      <c r="E867" s="1" t="s">
        <v>468</v>
      </c>
      <c r="F867" s="1" t="s">
        <v>351</v>
      </c>
      <c r="G867" s="1">
        <v>500</v>
      </c>
    </row>
    <row r="868" spans="1:7">
      <c r="A868" s="1" t="s">
        <v>2281</v>
      </c>
      <c r="B868" s="1" t="s">
        <v>2282</v>
      </c>
      <c r="C868" s="1" t="s">
        <v>339</v>
      </c>
      <c r="D868" s="1" t="s">
        <v>340</v>
      </c>
      <c r="E868" s="1" t="s">
        <v>480</v>
      </c>
      <c r="F868" s="1" t="s">
        <v>342</v>
      </c>
      <c r="G868" s="1">
        <v>140</v>
      </c>
    </row>
    <row r="869" spans="1:7">
      <c r="A869" s="1" t="s">
        <v>2283</v>
      </c>
      <c r="B869" s="1" t="s">
        <v>2284</v>
      </c>
      <c r="C869" s="1" t="s">
        <v>339</v>
      </c>
      <c r="D869" s="1" t="s">
        <v>340</v>
      </c>
      <c r="E869" s="1" t="s">
        <v>471</v>
      </c>
      <c r="F869" s="1" t="s">
        <v>342</v>
      </c>
      <c r="G869" s="1">
        <v>200</v>
      </c>
    </row>
    <row r="870" spans="1:7">
      <c r="A870" s="1" t="s">
        <v>2285</v>
      </c>
      <c r="B870" s="1" t="s">
        <v>2286</v>
      </c>
      <c r="C870" s="1" t="s">
        <v>339</v>
      </c>
      <c r="D870" s="1" t="s">
        <v>340</v>
      </c>
      <c r="E870" s="1" t="s">
        <v>613</v>
      </c>
      <c r="F870" s="1" t="s">
        <v>342</v>
      </c>
      <c r="G870" s="1">
        <v>130</v>
      </c>
    </row>
    <row r="871" spans="1:7">
      <c r="A871" s="1" t="s">
        <v>2287</v>
      </c>
      <c r="B871" s="1" t="s">
        <v>2288</v>
      </c>
      <c r="C871" s="1" t="s">
        <v>412</v>
      </c>
      <c r="D871" s="1" t="s">
        <v>340</v>
      </c>
      <c r="E871" s="1" t="s">
        <v>586</v>
      </c>
      <c r="F871" s="1" t="s">
        <v>414</v>
      </c>
      <c r="G871" s="1">
        <v>270</v>
      </c>
    </row>
    <row r="872" spans="1:7">
      <c r="A872" s="1" t="s">
        <v>2289</v>
      </c>
      <c r="B872" s="1" t="s">
        <v>2290</v>
      </c>
      <c r="C872" s="1" t="s">
        <v>345</v>
      </c>
      <c r="D872" s="1" t="s">
        <v>340</v>
      </c>
      <c r="E872" s="1" t="s">
        <v>589</v>
      </c>
      <c r="F872" s="1" t="s">
        <v>347</v>
      </c>
      <c r="G872" s="1">
        <v>120</v>
      </c>
    </row>
    <row r="873" spans="1:7">
      <c r="A873" s="1" t="s">
        <v>2291</v>
      </c>
      <c r="B873" s="1" t="s">
        <v>2292</v>
      </c>
      <c r="C873" s="1" t="s">
        <v>824</v>
      </c>
      <c r="D873" s="1" t="s">
        <v>340</v>
      </c>
      <c r="E873" s="1" t="s">
        <v>825</v>
      </c>
      <c r="F873" s="1" t="s">
        <v>419</v>
      </c>
      <c r="G873" s="1">
        <v>160</v>
      </c>
    </row>
    <row r="874" spans="1:7">
      <c r="A874" s="1" t="s">
        <v>2293</v>
      </c>
      <c r="B874" s="1" t="s">
        <v>2294</v>
      </c>
      <c r="C874" s="1" t="s">
        <v>2295</v>
      </c>
      <c r="D874" s="1" t="s">
        <v>1000</v>
      </c>
      <c r="E874" s="1" t="s">
        <v>2296</v>
      </c>
      <c r="F874" s="1" t="s">
        <v>357</v>
      </c>
      <c r="G874" s="1">
        <v>770</v>
      </c>
    </row>
    <row r="875" spans="1:7">
      <c r="A875" s="1" t="s">
        <v>2297</v>
      </c>
      <c r="B875" s="1" t="s">
        <v>2298</v>
      </c>
      <c r="C875" s="1" t="s">
        <v>339</v>
      </c>
      <c r="D875" s="1" t="s">
        <v>340</v>
      </c>
      <c r="E875" s="1" t="s">
        <v>404</v>
      </c>
      <c r="F875" s="1" t="s">
        <v>342</v>
      </c>
      <c r="G875" s="1">
        <v>100</v>
      </c>
    </row>
    <row r="876" spans="1:7">
      <c r="A876" s="1" t="s">
        <v>2299</v>
      </c>
      <c r="B876" s="1" t="s">
        <v>2300</v>
      </c>
      <c r="C876" s="1" t="s">
        <v>2301</v>
      </c>
      <c r="D876" s="1" t="s">
        <v>840</v>
      </c>
      <c r="E876" s="1" t="s">
        <v>2302</v>
      </c>
      <c r="F876" s="1" t="s">
        <v>357</v>
      </c>
      <c r="G876" s="1">
        <v>250</v>
      </c>
    </row>
    <row r="877" spans="1:7">
      <c r="A877" s="1" t="s">
        <v>2303</v>
      </c>
      <c r="B877" s="1" t="s">
        <v>2304</v>
      </c>
      <c r="C877" s="1" t="s">
        <v>511</v>
      </c>
      <c r="D877" s="1" t="s">
        <v>340</v>
      </c>
      <c r="E877" s="1" t="s">
        <v>536</v>
      </c>
      <c r="F877" s="1" t="s">
        <v>513</v>
      </c>
      <c r="G877" s="1">
        <v>115</v>
      </c>
    </row>
    <row r="878" spans="1:7">
      <c r="A878" s="1" t="s">
        <v>2305</v>
      </c>
      <c r="B878" s="1" t="s">
        <v>2306</v>
      </c>
      <c r="C878" s="1" t="s">
        <v>339</v>
      </c>
      <c r="D878" s="1" t="s">
        <v>340</v>
      </c>
      <c r="E878" s="1" t="s">
        <v>1052</v>
      </c>
      <c r="F878" s="1" t="s">
        <v>342</v>
      </c>
      <c r="G878" s="1">
        <v>200</v>
      </c>
    </row>
    <row r="879" spans="1:7">
      <c r="A879" s="1" t="s">
        <v>2307</v>
      </c>
      <c r="B879" s="1" t="s">
        <v>2308</v>
      </c>
      <c r="C879" s="1" t="s">
        <v>1198</v>
      </c>
      <c r="D879" s="1" t="s">
        <v>64</v>
      </c>
      <c r="E879" s="1" t="s">
        <v>1199</v>
      </c>
      <c r="F879" s="1" t="s">
        <v>533</v>
      </c>
      <c r="G879" s="1">
        <v>125</v>
      </c>
    </row>
    <row r="880" spans="1:7">
      <c r="A880" s="1" t="s">
        <v>2309</v>
      </c>
      <c r="B880" s="1" t="s">
        <v>2310</v>
      </c>
      <c r="C880" s="1" t="s">
        <v>339</v>
      </c>
      <c r="D880" s="1" t="s">
        <v>340</v>
      </c>
      <c r="E880" s="1" t="s">
        <v>404</v>
      </c>
      <c r="F880" s="1" t="s">
        <v>342</v>
      </c>
      <c r="G880" s="1">
        <v>150</v>
      </c>
    </row>
    <row r="881" spans="1:7">
      <c r="A881" s="1" t="s">
        <v>2311</v>
      </c>
      <c r="B881" s="1" t="s">
        <v>2312</v>
      </c>
      <c r="C881" s="1" t="s">
        <v>401</v>
      </c>
      <c r="D881" s="1" t="s">
        <v>340</v>
      </c>
      <c r="E881" s="1" t="s">
        <v>553</v>
      </c>
      <c r="F881" s="1" t="s">
        <v>342</v>
      </c>
      <c r="G881" s="1">
        <v>150</v>
      </c>
    </row>
    <row r="882" spans="1:7">
      <c r="A882" s="1" t="s">
        <v>265</v>
      </c>
      <c r="B882" s="1" t="s">
        <v>2313</v>
      </c>
      <c r="C882" s="1" t="s">
        <v>339</v>
      </c>
      <c r="D882" s="1" t="s">
        <v>340</v>
      </c>
      <c r="E882" s="1" t="s">
        <v>677</v>
      </c>
      <c r="F882" s="1" t="s">
        <v>342</v>
      </c>
      <c r="G882" s="1">
        <v>205</v>
      </c>
    </row>
    <row r="883" spans="1:7">
      <c r="A883" s="1" t="s">
        <v>2314</v>
      </c>
      <c r="B883" s="1" t="s">
        <v>2315</v>
      </c>
      <c r="C883" s="1" t="s">
        <v>412</v>
      </c>
      <c r="D883" s="1" t="s">
        <v>340</v>
      </c>
      <c r="E883" s="1" t="s">
        <v>413</v>
      </c>
      <c r="F883" s="1" t="s">
        <v>414</v>
      </c>
      <c r="G883" s="1">
        <v>100</v>
      </c>
    </row>
    <row r="884" spans="1:7">
      <c r="A884" s="1" t="s">
        <v>2316</v>
      </c>
      <c r="B884" s="1" t="s">
        <v>2317</v>
      </c>
      <c r="C884" s="1" t="s">
        <v>584</v>
      </c>
      <c r="D884" s="1" t="s">
        <v>64</v>
      </c>
      <c r="E884" s="1" t="s">
        <v>1065</v>
      </c>
      <c r="F884" s="1" t="s">
        <v>584</v>
      </c>
      <c r="G884" s="1">
        <v>170</v>
      </c>
    </row>
    <row r="885" spans="1:7">
      <c r="A885" s="1" t="s">
        <v>2318</v>
      </c>
      <c r="B885" s="1" t="s">
        <v>2319</v>
      </c>
      <c r="C885" s="1" t="s">
        <v>339</v>
      </c>
      <c r="D885" s="1" t="s">
        <v>340</v>
      </c>
      <c r="E885" s="1" t="s">
        <v>480</v>
      </c>
      <c r="F885" s="1" t="s">
        <v>342</v>
      </c>
      <c r="G885" s="1">
        <v>175</v>
      </c>
    </row>
    <row r="886" spans="1:7">
      <c r="A886" s="1" t="s">
        <v>2320</v>
      </c>
      <c r="B886" s="1" t="s">
        <v>2321</v>
      </c>
      <c r="C886" s="1" t="s">
        <v>339</v>
      </c>
      <c r="D886" s="1" t="s">
        <v>340</v>
      </c>
      <c r="E886" s="1" t="s">
        <v>384</v>
      </c>
      <c r="F886" s="1" t="s">
        <v>342</v>
      </c>
      <c r="G886" s="1">
        <v>100</v>
      </c>
    </row>
    <row r="887" spans="1:7">
      <c r="A887" s="1" t="s">
        <v>2322</v>
      </c>
      <c r="B887" s="1" t="s">
        <v>2323</v>
      </c>
      <c r="C887" s="1" t="s">
        <v>339</v>
      </c>
      <c r="D887" s="1" t="s">
        <v>340</v>
      </c>
      <c r="E887" s="1" t="s">
        <v>384</v>
      </c>
      <c r="F887" s="1" t="s">
        <v>342</v>
      </c>
      <c r="G887" s="1">
        <v>127</v>
      </c>
    </row>
    <row r="888" spans="1:7">
      <c r="A888" s="1" t="s">
        <v>2324</v>
      </c>
      <c r="B888" s="1" t="s">
        <v>2325</v>
      </c>
      <c r="C888" s="1" t="s">
        <v>339</v>
      </c>
      <c r="D888" s="1" t="s">
        <v>340</v>
      </c>
      <c r="E888" s="1" t="s">
        <v>663</v>
      </c>
      <c r="F888" s="1" t="s">
        <v>342</v>
      </c>
      <c r="G888" s="1">
        <v>600</v>
      </c>
    </row>
    <row r="889" spans="1:7">
      <c r="A889" s="1" t="s">
        <v>2326</v>
      </c>
      <c r="B889" s="1" t="s">
        <v>2327</v>
      </c>
      <c r="C889" s="1" t="s">
        <v>798</v>
      </c>
      <c r="D889" s="1" t="s">
        <v>340</v>
      </c>
      <c r="E889" s="1" t="s">
        <v>1562</v>
      </c>
      <c r="F889" s="1" t="s">
        <v>347</v>
      </c>
      <c r="G889" s="1">
        <v>114</v>
      </c>
    </row>
    <row r="890" spans="1:7">
      <c r="A890" s="1" t="s">
        <v>2328</v>
      </c>
      <c r="B890" s="1" t="s">
        <v>2329</v>
      </c>
      <c r="C890" s="1" t="s">
        <v>460</v>
      </c>
      <c r="D890" s="1" t="s">
        <v>340</v>
      </c>
      <c r="E890" s="1" t="s">
        <v>505</v>
      </c>
      <c r="F890" s="1" t="s">
        <v>342</v>
      </c>
      <c r="G890" s="1">
        <v>110</v>
      </c>
    </row>
    <row r="891" spans="1:7">
      <c r="A891" s="1" t="s">
        <v>2330</v>
      </c>
      <c r="B891" s="1" t="s">
        <v>2331</v>
      </c>
      <c r="C891" s="1" t="s">
        <v>339</v>
      </c>
      <c r="D891" s="1" t="s">
        <v>340</v>
      </c>
      <c r="E891" s="1" t="s">
        <v>480</v>
      </c>
      <c r="F891" s="1" t="s">
        <v>342</v>
      </c>
      <c r="G891" s="1">
        <v>100</v>
      </c>
    </row>
    <row r="892" spans="1:7">
      <c r="A892" s="1" t="s">
        <v>2332</v>
      </c>
      <c r="B892" s="1" t="s">
        <v>2333</v>
      </c>
      <c r="C892" s="1" t="s">
        <v>339</v>
      </c>
      <c r="D892" s="1" t="s">
        <v>340</v>
      </c>
      <c r="E892" s="1" t="s">
        <v>629</v>
      </c>
      <c r="F892" s="1" t="s">
        <v>357</v>
      </c>
      <c r="G892" s="1">
        <v>500</v>
      </c>
    </row>
    <row r="893" spans="1:7">
      <c r="A893" s="1" t="s">
        <v>2334</v>
      </c>
      <c r="B893" s="1" t="s">
        <v>2335</v>
      </c>
      <c r="C893" s="1" t="s">
        <v>723</v>
      </c>
      <c r="D893" s="1" t="s">
        <v>340</v>
      </c>
      <c r="E893" s="1" t="s">
        <v>724</v>
      </c>
      <c r="F893" s="1" t="s">
        <v>364</v>
      </c>
      <c r="G893" s="1">
        <v>150</v>
      </c>
    </row>
    <row r="894" spans="1:7">
      <c r="A894" s="1" t="s">
        <v>2336</v>
      </c>
      <c r="B894" s="1" t="s">
        <v>585</v>
      </c>
      <c r="C894" s="1" t="s">
        <v>511</v>
      </c>
      <c r="D894" s="1" t="s">
        <v>340</v>
      </c>
      <c r="E894" s="1" t="s">
        <v>536</v>
      </c>
      <c r="F894" s="1" t="s">
        <v>513</v>
      </c>
      <c r="G894" s="1">
        <v>100</v>
      </c>
    </row>
    <row r="895" spans="1:7">
      <c r="A895" s="1" t="s">
        <v>2337</v>
      </c>
      <c r="B895" s="1" t="s">
        <v>2338</v>
      </c>
      <c r="C895" s="1" t="s">
        <v>339</v>
      </c>
      <c r="D895" s="1" t="s">
        <v>340</v>
      </c>
      <c r="E895" s="1" t="s">
        <v>341</v>
      </c>
      <c r="F895" s="1" t="s">
        <v>342</v>
      </c>
      <c r="G895" s="1">
        <v>110</v>
      </c>
    </row>
    <row r="896" spans="1:7">
      <c r="A896" s="1" t="s">
        <v>2339</v>
      </c>
      <c r="B896" s="1" t="s">
        <v>2340</v>
      </c>
      <c r="C896" s="1" t="s">
        <v>584</v>
      </c>
      <c r="D896" s="1" t="s">
        <v>64</v>
      </c>
      <c r="E896" s="1" t="s">
        <v>1065</v>
      </c>
      <c r="F896" s="1" t="s">
        <v>357</v>
      </c>
      <c r="G896" s="1">
        <v>550</v>
      </c>
    </row>
    <row r="897" spans="1:7">
      <c r="A897" s="1" t="s">
        <v>2341</v>
      </c>
      <c r="B897" s="1" t="s">
        <v>2342</v>
      </c>
      <c r="C897" s="1" t="s">
        <v>440</v>
      </c>
      <c r="D897" s="1" t="s">
        <v>340</v>
      </c>
      <c r="E897" s="1" t="s">
        <v>441</v>
      </c>
      <c r="F897" s="1" t="s">
        <v>558</v>
      </c>
      <c r="G897" s="1">
        <v>110</v>
      </c>
    </row>
    <row r="898" spans="1:7">
      <c r="A898" s="1" t="s">
        <v>2343</v>
      </c>
      <c r="B898" s="1" t="s">
        <v>2344</v>
      </c>
      <c r="C898" s="1" t="s">
        <v>467</v>
      </c>
      <c r="D898" s="1" t="s">
        <v>64</v>
      </c>
      <c r="E898" s="1" t="s">
        <v>468</v>
      </c>
      <c r="F898" s="1" t="s">
        <v>351</v>
      </c>
      <c r="G898" s="1">
        <v>100</v>
      </c>
    </row>
    <row r="899" spans="1:7">
      <c r="A899" s="1" t="s">
        <v>2345</v>
      </c>
      <c r="B899" s="1" t="s">
        <v>2346</v>
      </c>
      <c r="C899" s="1" t="s">
        <v>436</v>
      </c>
      <c r="D899" s="1" t="s">
        <v>340</v>
      </c>
      <c r="E899" s="1" t="s">
        <v>610</v>
      </c>
      <c r="F899" s="1" t="s">
        <v>565</v>
      </c>
      <c r="G899" s="1">
        <v>100</v>
      </c>
    </row>
    <row r="900" spans="1:7">
      <c r="A900" s="1" t="s">
        <v>2347</v>
      </c>
      <c r="B900" s="1" t="s">
        <v>2348</v>
      </c>
      <c r="C900" s="1" t="s">
        <v>379</v>
      </c>
      <c r="D900" s="1" t="s">
        <v>340</v>
      </c>
      <c r="E900" s="1" t="s">
        <v>1138</v>
      </c>
      <c r="F900" s="1" t="s">
        <v>381</v>
      </c>
      <c r="G900" s="1">
        <v>150</v>
      </c>
    </row>
    <row r="901" spans="1:7">
      <c r="A901" s="1" t="s">
        <v>2349</v>
      </c>
      <c r="B901" s="1" t="s">
        <v>2350</v>
      </c>
      <c r="C901" s="1" t="s">
        <v>666</v>
      </c>
      <c r="D901" s="1" t="s">
        <v>340</v>
      </c>
      <c r="E901" s="1" t="s">
        <v>667</v>
      </c>
      <c r="F901" s="1" t="s">
        <v>558</v>
      </c>
      <c r="G901" s="1">
        <v>155</v>
      </c>
    </row>
    <row r="902" spans="1:7">
      <c r="A902" s="1" t="s">
        <v>2351</v>
      </c>
      <c r="B902" s="1" t="s">
        <v>2352</v>
      </c>
      <c r="C902" s="1" t="s">
        <v>2353</v>
      </c>
      <c r="D902" s="1" t="s">
        <v>2354</v>
      </c>
      <c r="E902" s="1" t="s">
        <v>2355</v>
      </c>
      <c r="F902" s="1" t="s">
        <v>357</v>
      </c>
      <c r="G902" s="1">
        <v>750</v>
      </c>
    </row>
    <row r="903" spans="1:7">
      <c r="A903" s="1" t="s">
        <v>2356</v>
      </c>
      <c r="B903" s="1" t="s">
        <v>2357</v>
      </c>
      <c r="C903" s="1" t="s">
        <v>339</v>
      </c>
      <c r="D903" s="1" t="s">
        <v>340</v>
      </c>
      <c r="E903" s="1" t="s">
        <v>390</v>
      </c>
      <c r="F903" s="1" t="s">
        <v>342</v>
      </c>
      <c r="G903" s="1">
        <v>2110</v>
      </c>
    </row>
    <row r="904" spans="1:7">
      <c r="A904" s="1" t="s">
        <v>2358</v>
      </c>
      <c r="B904" s="1" t="s">
        <v>2359</v>
      </c>
      <c r="C904" s="1" t="s">
        <v>345</v>
      </c>
      <c r="D904" s="1" t="s">
        <v>340</v>
      </c>
      <c r="E904" s="1" t="s">
        <v>346</v>
      </c>
      <c r="F904" s="1" t="s">
        <v>357</v>
      </c>
      <c r="G904" s="1">
        <v>3600</v>
      </c>
    </row>
    <row r="905" spans="1:7">
      <c r="A905" s="1" t="s">
        <v>2360</v>
      </c>
      <c r="B905" s="1" t="s">
        <v>1415</v>
      </c>
      <c r="C905" s="1" t="s">
        <v>824</v>
      </c>
      <c r="D905" s="1" t="s">
        <v>340</v>
      </c>
      <c r="E905" s="1" t="s">
        <v>825</v>
      </c>
      <c r="F905" s="1" t="s">
        <v>419</v>
      </c>
      <c r="G905" s="1">
        <v>260</v>
      </c>
    </row>
    <row r="906" spans="1:7">
      <c r="A906" s="1" t="s">
        <v>2361</v>
      </c>
      <c r="B906" s="1" t="s">
        <v>2362</v>
      </c>
      <c r="C906" s="1" t="s">
        <v>339</v>
      </c>
      <c r="D906" s="1" t="s">
        <v>340</v>
      </c>
      <c r="E906" s="1" t="s">
        <v>677</v>
      </c>
      <c r="F906" s="1" t="s">
        <v>342</v>
      </c>
      <c r="G906" s="1">
        <v>238</v>
      </c>
    </row>
    <row r="907" spans="1:7">
      <c r="A907" s="1" t="s">
        <v>2363</v>
      </c>
      <c r="B907" s="1" t="s">
        <v>2364</v>
      </c>
      <c r="C907" s="1" t="s">
        <v>339</v>
      </c>
      <c r="D907" s="1" t="s">
        <v>340</v>
      </c>
      <c r="E907" s="1" t="s">
        <v>480</v>
      </c>
      <c r="F907" s="1" t="s">
        <v>342</v>
      </c>
      <c r="G907" s="1">
        <v>125</v>
      </c>
    </row>
    <row r="908" spans="1:7">
      <c r="A908" s="1" t="s">
        <v>2365</v>
      </c>
      <c r="B908" s="1" t="s">
        <v>2366</v>
      </c>
      <c r="C908" s="1" t="s">
        <v>339</v>
      </c>
      <c r="D908" s="1" t="s">
        <v>340</v>
      </c>
      <c r="E908" s="1" t="s">
        <v>521</v>
      </c>
      <c r="F908" s="1" t="s">
        <v>342</v>
      </c>
      <c r="G908" s="1">
        <v>164</v>
      </c>
    </row>
    <row r="909" spans="1:7">
      <c r="A909" s="1" t="s">
        <v>2367</v>
      </c>
      <c r="B909" s="1" t="s">
        <v>2368</v>
      </c>
      <c r="C909" s="1" t="s">
        <v>339</v>
      </c>
      <c r="D909" s="1" t="s">
        <v>340</v>
      </c>
      <c r="E909" s="1" t="s">
        <v>577</v>
      </c>
      <c r="F909" s="1" t="s">
        <v>342</v>
      </c>
      <c r="G909" s="1">
        <v>550</v>
      </c>
    </row>
    <row r="910" spans="1:7">
      <c r="A910" s="1" t="s">
        <v>2369</v>
      </c>
      <c r="B910" s="1" t="s">
        <v>2370</v>
      </c>
      <c r="C910" s="1" t="s">
        <v>345</v>
      </c>
      <c r="D910" s="1" t="s">
        <v>340</v>
      </c>
      <c r="E910" s="1" t="s">
        <v>346</v>
      </c>
      <c r="F910" s="1" t="s">
        <v>357</v>
      </c>
      <c r="G910" s="1">
        <v>410</v>
      </c>
    </row>
    <row r="911" spans="1:7">
      <c r="A911" s="1" t="s">
        <v>2371</v>
      </c>
      <c r="B911" s="1" t="s">
        <v>2372</v>
      </c>
      <c r="C911" s="1" t="s">
        <v>511</v>
      </c>
      <c r="D911" s="1" t="s">
        <v>340</v>
      </c>
      <c r="E911" s="1" t="s">
        <v>536</v>
      </c>
      <c r="F911" s="1" t="s">
        <v>513</v>
      </c>
      <c r="G911" s="1">
        <v>700</v>
      </c>
    </row>
    <row r="912" spans="1:7">
      <c r="A912" s="1" t="s">
        <v>2373</v>
      </c>
      <c r="B912" s="1" t="s">
        <v>2374</v>
      </c>
      <c r="C912" s="1" t="s">
        <v>345</v>
      </c>
      <c r="D912" s="1" t="s">
        <v>340</v>
      </c>
      <c r="E912" s="1" t="s">
        <v>567</v>
      </c>
      <c r="F912" s="1" t="s">
        <v>347</v>
      </c>
      <c r="G912" s="1">
        <v>155</v>
      </c>
    </row>
    <row r="913" spans="1:7">
      <c r="A913" s="1" t="s">
        <v>2375</v>
      </c>
      <c r="B913" s="1" t="s">
        <v>2376</v>
      </c>
      <c r="C913" s="1" t="s">
        <v>824</v>
      </c>
      <c r="D913" s="1" t="s">
        <v>340</v>
      </c>
      <c r="E913" s="1" t="s">
        <v>825</v>
      </c>
      <c r="F913" s="1" t="s">
        <v>419</v>
      </c>
      <c r="G913" s="1">
        <v>145</v>
      </c>
    </row>
    <row r="914" spans="1:7">
      <c r="A914" s="1" t="s">
        <v>2377</v>
      </c>
      <c r="B914" s="1" t="s">
        <v>2378</v>
      </c>
      <c r="C914" s="1" t="s">
        <v>339</v>
      </c>
      <c r="D914" s="1" t="s">
        <v>340</v>
      </c>
      <c r="E914" s="1" t="s">
        <v>577</v>
      </c>
      <c r="F914" s="1" t="s">
        <v>342</v>
      </c>
      <c r="G914" s="1">
        <v>100</v>
      </c>
    </row>
    <row r="915" spans="1:7">
      <c r="A915" s="1" t="s">
        <v>2379</v>
      </c>
      <c r="B915" s="1" t="s">
        <v>2380</v>
      </c>
      <c r="C915" s="1" t="s">
        <v>447</v>
      </c>
      <c r="D915" s="1" t="s">
        <v>340</v>
      </c>
      <c r="E915" s="1" t="s">
        <v>448</v>
      </c>
      <c r="F915" s="1" t="s">
        <v>449</v>
      </c>
      <c r="G915" s="1">
        <v>100</v>
      </c>
    </row>
    <row r="916" spans="1:7">
      <c r="A916" s="1" t="s">
        <v>2381</v>
      </c>
      <c r="B916" s="1" t="s">
        <v>2382</v>
      </c>
      <c r="C916" s="1" t="s">
        <v>511</v>
      </c>
      <c r="D916" s="1" t="s">
        <v>340</v>
      </c>
      <c r="E916" s="1" t="s">
        <v>512</v>
      </c>
      <c r="F916" s="1" t="s">
        <v>513</v>
      </c>
      <c r="G916" s="1">
        <v>200</v>
      </c>
    </row>
    <row r="917" spans="1:7">
      <c r="A917" s="1" t="s">
        <v>2383</v>
      </c>
      <c r="B917" s="1" t="s">
        <v>2384</v>
      </c>
      <c r="C917" s="1" t="s">
        <v>339</v>
      </c>
      <c r="D917" s="1" t="s">
        <v>340</v>
      </c>
      <c r="E917" s="1" t="s">
        <v>508</v>
      </c>
      <c r="F917" s="1" t="s">
        <v>342</v>
      </c>
      <c r="G917" s="1">
        <v>135</v>
      </c>
    </row>
    <row r="918" spans="1:7">
      <c r="A918" s="1" t="s">
        <v>2385</v>
      </c>
      <c r="B918" s="1" t="s">
        <v>2386</v>
      </c>
      <c r="C918" s="1" t="s">
        <v>1334</v>
      </c>
      <c r="D918" s="1" t="s">
        <v>340</v>
      </c>
      <c r="E918" s="1" t="s">
        <v>1800</v>
      </c>
      <c r="F918" s="1" t="s">
        <v>342</v>
      </c>
      <c r="G918" s="1">
        <v>300</v>
      </c>
    </row>
    <row r="919" spans="1:7">
      <c r="A919" s="1" t="s">
        <v>2387</v>
      </c>
      <c r="B919" s="1" t="s">
        <v>2388</v>
      </c>
      <c r="C919" s="1" t="s">
        <v>339</v>
      </c>
      <c r="D919" s="1" t="s">
        <v>340</v>
      </c>
      <c r="E919" s="1" t="s">
        <v>390</v>
      </c>
      <c r="F919" s="1" t="s">
        <v>342</v>
      </c>
      <c r="G919" s="1">
        <v>300</v>
      </c>
    </row>
    <row r="920" spans="1:7">
      <c r="A920" s="1" t="s">
        <v>2389</v>
      </c>
      <c r="B920" s="1" t="s">
        <v>2390</v>
      </c>
      <c r="C920" s="1" t="s">
        <v>556</v>
      </c>
      <c r="D920" s="1" t="s">
        <v>340</v>
      </c>
      <c r="E920" s="1" t="s">
        <v>557</v>
      </c>
      <c r="F920" s="1" t="s">
        <v>558</v>
      </c>
      <c r="G920" s="1">
        <v>150</v>
      </c>
    </row>
    <row r="921" spans="1:7">
      <c r="A921" s="1" t="s">
        <v>2391</v>
      </c>
      <c r="B921" s="1" t="s">
        <v>1395</v>
      </c>
      <c r="C921" s="1" t="s">
        <v>723</v>
      </c>
      <c r="D921" s="1" t="s">
        <v>340</v>
      </c>
      <c r="E921" s="1" t="s">
        <v>724</v>
      </c>
      <c r="F921" s="1" t="s">
        <v>364</v>
      </c>
      <c r="G921" s="1">
        <v>232</v>
      </c>
    </row>
    <row r="922" spans="1:7">
      <c r="A922" s="1" t="s">
        <v>2392</v>
      </c>
      <c r="B922" s="1" t="s">
        <v>2393</v>
      </c>
      <c r="C922" s="1" t="s">
        <v>666</v>
      </c>
      <c r="D922" s="1" t="s">
        <v>340</v>
      </c>
      <c r="E922" s="1" t="s">
        <v>667</v>
      </c>
      <c r="F922" s="1" t="s">
        <v>357</v>
      </c>
      <c r="G922" s="1">
        <v>140</v>
      </c>
    </row>
    <row r="923" spans="1:7">
      <c r="A923" s="1" t="s">
        <v>2394</v>
      </c>
      <c r="B923" s="1" t="s">
        <v>2395</v>
      </c>
      <c r="C923" s="1" t="s">
        <v>339</v>
      </c>
      <c r="D923" s="1" t="s">
        <v>340</v>
      </c>
      <c r="E923" s="1" t="s">
        <v>457</v>
      </c>
      <c r="F923" s="1" t="s">
        <v>357</v>
      </c>
      <c r="G923" s="1">
        <v>180</v>
      </c>
    </row>
    <row r="924" spans="1:7">
      <c r="A924" s="1" t="s">
        <v>2396</v>
      </c>
      <c r="B924" s="1" t="s">
        <v>2397</v>
      </c>
      <c r="C924" s="1" t="s">
        <v>440</v>
      </c>
      <c r="D924" s="1" t="s">
        <v>340</v>
      </c>
      <c r="E924" s="1" t="s">
        <v>1169</v>
      </c>
      <c r="F924" s="1" t="s">
        <v>558</v>
      </c>
      <c r="G924" s="1">
        <v>115</v>
      </c>
    </row>
    <row r="925" spans="1:7">
      <c r="A925" s="1" t="s">
        <v>266</v>
      </c>
      <c r="B925" s="1" t="s">
        <v>2398</v>
      </c>
      <c r="C925" s="1" t="s">
        <v>511</v>
      </c>
      <c r="D925" s="1" t="s">
        <v>340</v>
      </c>
      <c r="E925" s="1" t="s">
        <v>512</v>
      </c>
      <c r="F925" s="1" t="s">
        <v>513</v>
      </c>
      <c r="G925" s="1">
        <v>550</v>
      </c>
    </row>
    <row r="926" spans="1:7">
      <c r="A926" s="1" t="s">
        <v>2399</v>
      </c>
      <c r="B926" s="1" t="s">
        <v>2400</v>
      </c>
      <c r="C926" s="1" t="s">
        <v>339</v>
      </c>
      <c r="D926" s="1" t="s">
        <v>340</v>
      </c>
      <c r="E926" s="1" t="s">
        <v>715</v>
      </c>
      <c r="F926" s="1" t="s">
        <v>357</v>
      </c>
      <c r="G926" s="1">
        <v>400</v>
      </c>
    </row>
    <row r="927" spans="1:7">
      <c r="A927" s="1" t="s">
        <v>2401</v>
      </c>
      <c r="B927" s="1" t="s">
        <v>2402</v>
      </c>
      <c r="C927" s="1" t="s">
        <v>349</v>
      </c>
      <c r="D927" s="1" t="s">
        <v>64</v>
      </c>
      <c r="E927" s="1" t="s">
        <v>350</v>
      </c>
      <c r="F927" s="1" t="s">
        <v>351</v>
      </c>
      <c r="G927" s="1">
        <v>110</v>
      </c>
    </row>
    <row r="928" spans="1:7">
      <c r="A928" s="1" t="s">
        <v>2403</v>
      </c>
      <c r="B928" s="1" t="s">
        <v>2404</v>
      </c>
      <c r="C928" s="1" t="s">
        <v>1193</v>
      </c>
      <c r="D928" s="1" t="s">
        <v>64</v>
      </c>
      <c r="E928" s="1" t="s">
        <v>1194</v>
      </c>
      <c r="F928" s="1" t="s">
        <v>351</v>
      </c>
      <c r="G928" s="1">
        <v>350</v>
      </c>
    </row>
    <row r="929" spans="1:7">
      <c r="A929" s="1" t="s">
        <v>2405</v>
      </c>
      <c r="B929" s="1" t="s">
        <v>2406</v>
      </c>
      <c r="C929" s="1" t="s">
        <v>401</v>
      </c>
      <c r="D929" s="1" t="s">
        <v>340</v>
      </c>
      <c r="E929" s="1" t="s">
        <v>980</v>
      </c>
      <c r="F929" s="1" t="s">
        <v>342</v>
      </c>
      <c r="G929" s="1">
        <v>118</v>
      </c>
    </row>
    <row r="930" spans="1:7">
      <c r="A930" s="1" t="s">
        <v>267</v>
      </c>
      <c r="B930" s="1" t="s">
        <v>2407</v>
      </c>
      <c r="C930" s="1" t="s">
        <v>339</v>
      </c>
      <c r="D930" s="1" t="s">
        <v>340</v>
      </c>
      <c r="E930" s="1" t="s">
        <v>376</v>
      </c>
      <c r="F930" s="1" t="s">
        <v>357</v>
      </c>
      <c r="G930" s="1">
        <v>675</v>
      </c>
    </row>
    <row r="931" spans="1:7">
      <c r="A931" s="1" t="s">
        <v>2408</v>
      </c>
      <c r="B931" s="1" t="s">
        <v>2409</v>
      </c>
      <c r="C931" s="1" t="s">
        <v>718</v>
      </c>
      <c r="D931" s="1" t="s">
        <v>719</v>
      </c>
      <c r="E931" s="1" t="s">
        <v>2410</v>
      </c>
      <c r="F931" s="1" t="s">
        <v>357</v>
      </c>
      <c r="G931" s="1">
        <v>350</v>
      </c>
    </row>
    <row r="932" spans="1:7">
      <c r="A932" s="1" t="s">
        <v>268</v>
      </c>
      <c r="B932" s="1" t="s">
        <v>2411</v>
      </c>
      <c r="C932" s="1" t="s">
        <v>339</v>
      </c>
      <c r="D932" s="1" t="s">
        <v>340</v>
      </c>
      <c r="E932" s="1" t="s">
        <v>454</v>
      </c>
      <c r="F932" s="1" t="s">
        <v>342</v>
      </c>
      <c r="G932" s="1">
        <v>100</v>
      </c>
    </row>
    <row r="933" spans="1:7">
      <c r="A933" s="1" t="s">
        <v>2412</v>
      </c>
      <c r="B933" s="1" t="s">
        <v>2413</v>
      </c>
      <c r="C933" s="1" t="s">
        <v>2414</v>
      </c>
      <c r="D933" s="1" t="s">
        <v>340</v>
      </c>
      <c r="E933" s="1" t="s">
        <v>2415</v>
      </c>
      <c r="F933" s="1" t="s">
        <v>427</v>
      </c>
      <c r="G933" s="1">
        <v>250</v>
      </c>
    </row>
    <row r="934" spans="1:7">
      <c r="A934" s="1" t="s">
        <v>2416</v>
      </c>
      <c r="B934" s="1" t="s">
        <v>2417</v>
      </c>
      <c r="C934" s="1" t="s">
        <v>436</v>
      </c>
      <c r="D934" s="1" t="s">
        <v>340</v>
      </c>
      <c r="E934" s="1" t="s">
        <v>437</v>
      </c>
      <c r="F934" s="1" t="s">
        <v>565</v>
      </c>
      <c r="G934" s="1">
        <v>442</v>
      </c>
    </row>
    <row r="935" spans="1:7">
      <c r="A935" s="1" t="s">
        <v>2418</v>
      </c>
      <c r="B935" s="1" t="s">
        <v>2419</v>
      </c>
      <c r="C935" s="1" t="s">
        <v>2420</v>
      </c>
      <c r="D935" s="1" t="s">
        <v>340</v>
      </c>
      <c r="E935" s="1" t="s">
        <v>2421</v>
      </c>
      <c r="F935" s="1" t="s">
        <v>357</v>
      </c>
      <c r="G935" s="1">
        <v>2330</v>
      </c>
    </row>
    <row r="936" spans="1:7">
      <c r="A936" s="1" t="s">
        <v>2422</v>
      </c>
      <c r="B936" s="1" t="s">
        <v>2423</v>
      </c>
      <c r="C936" s="1" t="s">
        <v>511</v>
      </c>
      <c r="D936" s="1" t="s">
        <v>340</v>
      </c>
      <c r="E936" s="1" t="s">
        <v>852</v>
      </c>
      <c r="F936" s="1" t="s">
        <v>513</v>
      </c>
      <c r="G936" s="1">
        <v>2600</v>
      </c>
    </row>
    <row r="937" spans="1:7">
      <c r="A937" s="1" t="s">
        <v>2424</v>
      </c>
      <c r="B937" s="1" t="s">
        <v>2425</v>
      </c>
      <c r="C937" s="1" t="s">
        <v>584</v>
      </c>
      <c r="D937" s="1" t="s">
        <v>64</v>
      </c>
      <c r="E937" s="1" t="s">
        <v>1065</v>
      </c>
      <c r="F937" s="1" t="s">
        <v>584</v>
      </c>
      <c r="G937" s="1">
        <v>150</v>
      </c>
    </row>
    <row r="938" spans="1:7">
      <c r="A938" s="1" t="s">
        <v>2426</v>
      </c>
      <c r="B938" s="1" t="s">
        <v>2427</v>
      </c>
      <c r="C938" s="1" t="s">
        <v>339</v>
      </c>
      <c r="D938" s="1" t="s">
        <v>340</v>
      </c>
      <c r="E938" s="1" t="s">
        <v>480</v>
      </c>
      <c r="F938" s="1" t="s">
        <v>357</v>
      </c>
      <c r="G938" s="1">
        <v>450</v>
      </c>
    </row>
    <row r="939" spans="1:7">
      <c r="A939" s="1" t="s">
        <v>2428</v>
      </c>
      <c r="B939" s="1" t="s">
        <v>2429</v>
      </c>
      <c r="C939" s="1" t="s">
        <v>362</v>
      </c>
      <c r="D939" s="1" t="s">
        <v>340</v>
      </c>
      <c r="E939" s="1" t="s">
        <v>430</v>
      </c>
      <c r="F939" s="1" t="s">
        <v>364</v>
      </c>
      <c r="G939" s="1">
        <v>681</v>
      </c>
    </row>
    <row r="940" spans="1:7">
      <c r="A940" s="1" t="s">
        <v>2430</v>
      </c>
      <c r="B940" s="1" t="s">
        <v>2431</v>
      </c>
      <c r="C940" s="1" t="s">
        <v>349</v>
      </c>
      <c r="D940" s="1" t="s">
        <v>64</v>
      </c>
      <c r="E940" s="1" t="s">
        <v>1983</v>
      </c>
      <c r="F940" s="1" t="s">
        <v>351</v>
      </c>
      <c r="G940" s="1">
        <v>1500</v>
      </c>
    </row>
    <row r="941" spans="1:7">
      <c r="A941" s="1" t="s">
        <v>2432</v>
      </c>
      <c r="B941" s="1" t="s">
        <v>2433</v>
      </c>
      <c r="C941" s="1" t="s">
        <v>339</v>
      </c>
      <c r="D941" s="1" t="s">
        <v>340</v>
      </c>
      <c r="E941" s="1" t="s">
        <v>454</v>
      </c>
      <c r="F941" s="1" t="s">
        <v>342</v>
      </c>
      <c r="G941" s="1">
        <v>660</v>
      </c>
    </row>
    <row r="942" spans="1:7">
      <c r="A942" s="1" t="s">
        <v>2434</v>
      </c>
      <c r="B942" s="1" t="s">
        <v>1531</v>
      </c>
      <c r="C942" s="1" t="s">
        <v>1017</v>
      </c>
      <c r="D942" s="1" t="s">
        <v>340</v>
      </c>
      <c r="E942" s="1" t="s">
        <v>1018</v>
      </c>
      <c r="F942" s="1" t="s">
        <v>558</v>
      </c>
      <c r="G942" s="1">
        <v>700</v>
      </c>
    </row>
    <row r="943" spans="1:7">
      <c r="A943" s="1" t="s">
        <v>269</v>
      </c>
      <c r="B943" s="1" t="s">
        <v>2435</v>
      </c>
      <c r="C943" s="1" t="s">
        <v>606</v>
      </c>
      <c r="D943" s="1" t="s">
        <v>340</v>
      </c>
      <c r="E943" s="1" t="s">
        <v>607</v>
      </c>
      <c r="F943" s="1" t="s">
        <v>414</v>
      </c>
      <c r="G943" s="1">
        <v>1175</v>
      </c>
    </row>
    <row r="944" spans="1:7">
      <c r="A944" s="1" t="s">
        <v>2436</v>
      </c>
      <c r="B944" s="1" t="s">
        <v>2437</v>
      </c>
      <c r="C944" s="1" t="s">
        <v>1334</v>
      </c>
      <c r="D944" s="1" t="s">
        <v>340</v>
      </c>
      <c r="E944" s="1" t="s">
        <v>1800</v>
      </c>
      <c r="F944" s="1" t="s">
        <v>342</v>
      </c>
      <c r="G944" s="1">
        <v>175</v>
      </c>
    </row>
    <row r="945" spans="1:7">
      <c r="A945" s="1" t="s">
        <v>2438</v>
      </c>
      <c r="B945" s="1" t="s">
        <v>2439</v>
      </c>
      <c r="C945" s="1" t="s">
        <v>397</v>
      </c>
      <c r="D945" s="1" t="s">
        <v>340</v>
      </c>
      <c r="E945" s="1" t="s">
        <v>398</v>
      </c>
      <c r="F945" s="1" t="s">
        <v>342</v>
      </c>
      <c r="G945" s="1">
        <v>100</v>
      </c>
    </row>
    <row r="946" spans="1:7">
      <c r="A946" s="1" t="s">
        <v>2440</v>
      </c>
      <c r="B946" s="1" t="s">
        <v>2441</v>
      </c>
      <c r="C946" s="1" t="s">
        <v>339</v>
      </c>
      <c r="D946" s="1" t="s">
        <v>340</v>
      </c>
      <c r="E946" s="1" t="s">
        <v>474</v>
      </c>
      <c r="F946" s="1" t="s">
        <v>357</v>
      </c>
      <c r="G946" s="1">
        <v>1380</v>
      </c>
    </row>
    <row r="947" spans="1:7">
      <c r="A947" s="1" t="s">
        <v>2442</v>
      </c>
      <c r="B947" s="1" t="s">
        <v>2443</v>
      </c>
      <c r="C947" s="1" t="s">
        <v>401</v>
      </c>
      <c r="D947" s="1" t="s">
        <v>340</v>
      </c>
      <c r="E947" s="1" t="s">
        <v>980</v>
      </c>
      <c r="F947" s="1" t="s">
        <v>342</v>
      </c>
      <c r="G947" s="1">
        <v>250</v>
      </c>
    </row>
    <row r="948" spans="1:7">
      <c r="A948" s="1" t="s">
        <v>2444</v>
      </c>
      <c r="B948" s="1" t="s">
        <v>708</v>
      </c>
      <c r="C948" s="1" t="s">
        <v>440</v>
      </c>
      <c r="D948" s="1" t="s">
        <v>340</v>
      </c>
      <c r="E948" s="1" t="s">
        <v>441</v>
      </c>
      <c r="F948" s="1" t="s">
        <v>558</v>
      </c>
      <c r="G948" s="1">
        <v>275</v>
      </c>
    </row>
    <row r="949" spans="1:7">
      <c r="A949" s="1" t="s">
        <v>2445</v>
      </c>
      <c r="B949" s="1" t="s">
        <v>2446</v>
      </c>
      <c r="C949" s="1" t="s">
        <v>556</v>
      </c>
      <c r="D949" s="1" t="s">
        <v>340</v>
      </c>
      <c r="E949" s="1" t="s">
        <v>557</v>
      </c>
      <c r="F949" s="1" t="s">
        <v>558</v>
      </c>
      <c r="G949" s="1">
        <v>120</v>
      </c>
    </row>
    <row r="950" spans="1:7">
      <c r="A950" s="1" t="s">
        <v>2447</v>
      </c>
      <c r="B950" s="1" t="s">
        <v>2448</v>
      </c>
      <c r="C950" s="1" t="s">
        <v>339</v>
      </c>
      <c r="D950" s="1" t="s">
        <v>340</v>
      </c>
      <c r="E950" s="1" t="s">
        <v>341</v>
      </c>
      <c r="F950" s="1" t="s">
        <v>357</v>
      </c>
      <c r="G950" s="1">
        <v>340</v>
      </c>
    </row>
    <row r="951" spans="1:7">
      <c r="A951" s="1" t="s">
        <v>2449</v>
      </c>
      <c r="B951" s="1" t="s">
        <v>2450</v>
      </c>
      <c r="C951" s="1" t="s">
        <v>339</v>
      </c>
      <c r="D951" s="1" t="s">
        <v>340</v>
      </c>
      <c r="E951" s="1" t="s">
        <v>622</v>
      </c>
      <c r="F951" s="1" t="s">
        <v>357</v>
      </c>
      <c r="G951" s="1">
        <v>490</v>
      </c>
    </row>
    <row r="952" spans="1:7">
      <c r="A952" s="1" t="s">
        <v>2451</v>
      </c>
      <c r="B952" s="1" t="s">
        <v>2452</v>
      </c>
      <c r="C952" s="1" t="s">
        <v>723</v>
      </c>
      <c r="D952" s="1" t="s">
        <v>340</v>
      </c>
      <c r="E952" s="1" t="s">
        <v>724</v>
      </c>
      <c r="F952" s="1" t="s">
        <v>364</v>
      </c>
      <c r="G952" s="1">
        <v>400</v>
      </c>
    </row>
    <row r="953" spans="1:7">
      <c r="A953" s="1" t="s">
        <v>2453</v>
      </c>
      <c r="B953" s="1" t="s">
        <v>2454</v>
      </c>
      <c r="C953" s="1" t="s">
        <v>1768</v>
      </c>
      <c r="D953" s="1" t="s">
        <v>340</v>
      </c>
      <c r="E953" s="1" t="s">
        <v>1769</v>
      </c>
      <c r="F953" s="1" t="s">
        <v>347</v>
      </c>
      <c r="G953" s="1">
        <v>130</v>
      </c>
    </row>
    <row r="954" spans="1:7">
      <c r="A954" s="1" t="s">
        <v>2455</v>
      </c>
      <c r="B954" s="1" t="s">
        <v>2456</v>
      </c>
      <c r="C954" s="1" t="s">
        <v>401</v>
      </c>
      <c r="D954" s="1" t="s">
        <v>340</v>
      </c>
      <c r="E954" s="1" t="s">
        <v>980</v>
      </c>
      <c r="F954" s="1" t="s">
        <v>342</v>
      </c>
      <c r="G954" s="1">
        <v>750</v>
      </c>
    </row>
    <row r="955" spans="1:7">
      <c r="A955" s="1" t="s">
        <v>2457</v>
      </c>
      <c r="B955" s="1" t="s">
        <v>2458</v>
      </c>
      <c r="C955" s="1" t="s">
        <v>339</v>
      </c>
      <c r="D955" s="1" t="s">
        <v>340</v>
      </c>
      <c r="E955" s="1" t="s">
        <v>474</v>
      </c>
      <c r="F955" s="1" t="s">
        <v>342</v>
      </c>
      <c r="G955" s="1">
        <v>120</v>
      </c>
    </row>
    <row r="956" spans="1:7">
      <c r="A956" s="1" t="s">
        <v>2459</v>
      </c>
      <c r="B956" s="1" t="s">
        <v>2460</v>
      </c>
      <c r="C956" s="1" t="s">
        <v>339</v>
      </c>
      <c r="D956" s="1" t="s">
        <v>340</v>
      </c>
      <c r="E956" s="1" t="s">
        <v>384</v>
      </c>
      <c r="F956" s="1" t="s">
        <v>342</v>
      </c>
      <c r="G956" s="1">
        <v>100</v>
      </c>
    </row>
    <row r="957" spans="1:7">
      <c r="A957" s="1" t="s">
        <v>2461</v>
      </c>
      <c r="B957" s="1" t="s">
        <v>2462</v>
      </c>
      <c r="C957" s="1" t="s">
        <v>349</v>
      </c>
      <c r="D957" s="1" t="s">
        <v>64</v>
      </c>
      <c r="E957" s="1" t="s">
        <v>1983</v>
      </c>
      <c r="F957" s="1" t="s">
        <v>351</v>
      </c>
      <c r="G957" s="1">
        <v>100</v>
      </c>
    </row>
    <row r="958" spans="1:7">
      <c r="A958" s="1" t="s">
        <v>2463</v>
      </c>
      <c r="B958" s="1" t="s">
        <v>2464</v>
      </c>
      <c r="C958" s="1" t="s">
        <v>339</v>
      </c>
      <c r="D958" s="1" t="s">
        <v>340</v>
      </c>
      <c r="E958" s="1" t="s">
        <v>677</v>
      </c>
      <c r="F958" s="1" t="s">
        <v>342</v>
      </c>
      <c r="G958" s="1">
        <v>100</v>
      </c>
    </row>
    <row r="959" spans="1:7">
      <c r="A959" s="1" t="s">
        <v>2465</v>
      </c>
      <c r="B959" s="1" t="s">
        <v>2466</v>
      </c>
      <c r="C959" s="1" t="s">
        <v>584</v>
      </c>
      <c r="D959" s="1" t="s">
        <v>64</v>
      </c>
      <c r="E959" s="1" t="s">
        <v>1065</v>
      </c>
      <c r="F959" s="1" t="s">
        <v>584</v>
      </c>
      <c r="G959" s="1">
        <v>140</v>
      </c>
    </row>
    <row r="960" spans="1:7">
      <c r="A960" s="1" t="s">
        <v>2465</v>
      </c>
      <c r="B960" s="1" t="s">
        <v>2467</v>
      </c>
      <c r="C960" s="1" t="s">
        <v>625</v>
      </c>
      <c r="D960" s="1" t="s">
        <v>340</v>
      </c>
      <c r="E960" s="1" t="s">
        <v>626</v>
      </c>
      <c r="F960" s="1" t="s">
        <v>419</v>
      </c>
      <c r="G960" s="1">
        <v>1200</v>
      </c>
    </row>
    <row r="961" spans="1:7">
      <c r="A961" s="1" t="s">
        <v>2468</v>
      </c>
      <c r="B961" s="1" t="s">
        <v>2469</v>
      </c>
      <c r="C961" s="1" t="s">
        <v>362</v>
      </c>
      <c r="D961" s="1" t="s">
        <v>340</v>
      </c>
      <c r="E961" s="1" t="s">
        <v>518</v>
      </c>
      <c r="F961" s="1" t="s">
        <v>364</v>
      </c>
      <c r="G961" s="1">
        <v>135</v>
      </c>
    </row>
    <row r="962" spans="1:7">
      <c r="A962" s="1" t="s">
        <v>2470</v>
      </c>
      <c r="B962" s="1" t="s">
        <v>2471</v>
      </c>
      <c r="C962" s="1" t="s">
        <v>666</v>
      </c>
      <c r="D962" s="1" t="s">
        <v>340</v>
      </c>
      <c r="E962" s="1" t="s">
        <v>667</v>
      </c>
      <c r="F962" s="1" t="s">
        <v>558</v>
      </c>
      <c r="G962" s="1">
        <v>156</v>
      </c>
    </row>
    <row r="963" spans="1:7">
      <c r="A963" s="1" t="s">
        <v>2472</v>
      </c>
      <c r="B963" s="1" t="s">
        <v>2473</v>
      </c>
      <c r="C963" s="1" t="s">
        <v>339</v>
      </c>
      <c r="D963" s="1" t="s">
        <v>340</v>
      </c>
      <c r="E963" s="1" t="s">
        <v>384</v>
      </c>
      <c r="F963" s="1" t="s">
        <v>342</v>
      </c>
      <c r="G963" s="1">
        <v>184</v>
      </c>
    </row>
    <row r="964" spans="1:7">
      <c r="A964" s="1" t="s">
        <v>2474</v>
      </c>
      <c r="B964" s="1" t="s">
        <v>2475</v>
      </c>
      <c r="C964" s="1" t="s">
        <v>425</v>
      </c>
      <c r="D964" s="1" t="s">
        <v>340</v>
      </c>
      <c r="E964" s="1" t="s">
        <v>426</v>
      </c>
      <c r="F964" s="1" t="s">
        <v>427</v>
      </c>
      <c r="G964" s="1">
        <v>165</v>
      </c>
    </row>
    <row r="965" spans="1:7">
      <c r="A965" s="1" t="s">
        <v>2476</v>
      </c>
      <c r="B965" s="1" t="s">
        <v>2477</v>
      </c>
      <c r="C965" s="1" t="s">
        <v>339</v>
      </c>
      <c r="D965" s="1" t="s">
        <v>340</v>
      </c>
      <c r="E965" s="1" t="s">
        <v>613</v>
      </c>
      <c r="F965" s="1" t="s">
        <v>342</v>
      </c>
      <c r="G965" s="1">
        <v>110</v>
      </c>
    </row>
    <row r="966" spans="1:7">
      <c r="A966" s="1" t="s">
        <v>2478</v>
      </c>
      <c r="B966" s="1" t="s">
        <v>2479</v>
      </c>
      <c r="C966" s="1" t="s">
        <v>339</v>
      </c>
      <c r="D966" s="1" t="s">
        <v>340</v>
      </c>
      <c r="E966" s="1" t="s">
        <v>404</v>
      </c>
      <c r="F966" s="1" t="s">
        <v>342</v>
      </c>
      <c r="G966" s="1">
        <v>500</v>
      </c>
    </row>
    <row r="967" spans="1:7">
      <c r="A967" s="1" t="s">
        <v>2480</v>
      </c>
      <c r="B967" s="1" t="s">
        <v>2481</v>
      </c>
      <c r="C967" s="1" t="s">
        <v>2482</v>
      </c>
      <c r="D967" s="1" t="s">
        <v>340</v>
      </c>
      <c r="E967" s="1" t="s">
        <v>2483</v>
      </c>
      <c r="F967" s="1" t="s">
        <v>526</v>
      </c>
      <c r="G967" s="1">
        <v>150</v>
      </c>
    </row>
    <row r="968" spans="1:7">
      <c r="A968" s="1" t="s">
        <v>2484</v>
      </c>
      <c r="B968" s="1" t="s">
        <v>2485</v>
      </c>
      <c r="C968" s="1" t="s">
        <v>339</v>
      </c>
      <c r="D968" s="1" t="s">
        <v>340</v>
      </c>
      <c r="E968" s="1" t="s">
        <v>1731</v>
      </c>
      <c r="F968" s="1" t="s">
        <v>357</v>
      </c>
      <c r="G968" s="1">
        <v>7800</v>
      </c>
    </row>
    <row r="969" spans="1:7">
      <c r="A969" s="1" t="s">
        <v>2486</v>
      </c>
      <c r="B969" s="1" t="s">
        <v>2487</v>
      </c>
      <c r="C969" s="1" t="s">
        <v>339</v>
      </c>
      <c r="D969" s="1" t="s">
        <v>340</v>
      </c>
      <c r="E969" s="1" t="s">
        <v>674</v>
      </c>
      <c r="F969" s="1" t="s">
        <v>342</v>
      </c>
      <c r="G969" s="1">
        <v>165</v>
      </c>
    </row>
    <row r="970" spans="1:7">
      <c r="A970" s="1" t="s">
        <v>2488</v>
      </c>
      <c r="B970" s="1" t="s">
        <v>2489</v>
      </c>
      <c r="C970" s="1" t="s">
        <v>339</v>
      </c>
      <c r="D970" s="1" t="s">
        <v>340</v>
      </c>
      <c r="E970" s="1" t="s">
        <v>390</v>
      </c>
      <c r="F970" s="1" t="s">
        <v>342</v>
      </c>
      <c r="G970" s="1">
        <v>300</v>
      </c>
    </row>
    <row r="971" spans="1:7">
      <c r="A971" s="1" t="s">
        <v>2490</v>
      </c>
      <c r="B971" s="1" t="s">
        <v>2491</v>
      </c>
      <c r="C971" s="1" t="s">
        <v>339</v>
      </c>
      <c r="D971" s="1" t="s">
        <v>340</v>
      </c>
      <c r="E971" s="1" t="s">
        <v>677</v>
      </c>
      <c r="F971" s="1" t="s">
        <v>342</v>
      </c>
      <c r="G971" s="1">
        <v>450</v>
      </c>
    </row>
    <row r="972" spans="1:7">
      <c r="A972" s="1" t="s">
        <v>2492</v>
      </c>
      <c r="B972" s="1" t="s">
        <v>2493</v>
      </c>
      <c r="C972" s="1" t="s">
        <v>339</v>
      </c>
      <c r="D972" s="1" t="s">
        <v>340</v>
      </c>
      <c r="E972" s="1" t="s">
        <v>577</v>
      </c>
      <c r="F972" s="1" t="s">
        <v>342</v>
      </c>
      <c r="G972" s="1">
        <v>120</v>
      </c>
    </row>
    <row r="973" spans="1:7">
      <c r="A973" s="1" t="s">
        <v>2494</v>
      </c>
      <c r="B973" s="1" t="s">
        <v>2495</v>
      </c>
      <c r="C973" s="1" t="s">
        <v>339</v>
      </c>
      <c r="D973" s="1" t="s">
        <v>340</v>
      </c>
      <c r="E973" s="1" t="s">
        <v>622</v>
      </c>
      <c r="F973" s="1" t="s">
        <v>342</v>
      </c>
      <c r="G973" s="1">
        <v>100</v>
      </c>
    </row>
    <row r="974" spans="1:7">
      <c r="A974" s="1" t="s">
        <v>270</v>
      </c>
      <c r="B974" s="1" t="s">
        <v>2496</v>
      </c>
      <c r="C974" s="1" t="s">
        <v>833</v>
      </c>
      <c r="D974" s="1" t="s">
        <v>340</v>
      </c>
      <c r="E974" s="1" t="s">
        <v>834</v>
      </c>
      <c r="F974" s="1" t="s">
        <v>513</v>
      </c>
      <c r="G974" s="1">
        <v>150</v>
      </c>
    </row>
    <row r="975" spans="1:7">
      <c r="A975" s="1" t="s">
        <v>271</v>
      </c>
      <c r="B975" s="1" t="s">
        <v>2497</v>
      </c>
      <c r="C975" s="1" t="s">
        <v>1193</v>
      </c>
      <c r="D975" s="1" t="s">
        <v>64</v>
      </c>
      <c r="E975" s="1" t="s">
        <v>1194</v>
      </c>
      <c r="F975" s="1" t="s">
        <v>351</v>
      </c>
      <c r="G975" s="1">
        <v>110</v>
      </c>
    </row>
    <row r="976" spans="1:7">
      <c r="A976" s="1" t="s">
        <v>2498</v>
      </c>
      <c r="B976" s="1" t="s">
        <v>2499</v>
      </c>
      <c r="C976" s="1" t="s">
        <v>723</v>
      </c>
      <c r="D976" s="1" t="s">
        <v>340</v>
      </c>
      <c r="E976" s="1" t="s">
        <v>1284</v>
      </c>
      <c r="F976" s="1" t="s">
        <v>364</v>
      </c>
      <c r="G976" s="1">
        <v>200</v>
      </c>
    </row>
    <row r="977" spans="1:7">
      <c r="A977" s="1" t="s">
        <v>2500</v>
      </c>
      <c r="B977" s="1" t="s">
        <v>2501</v>
      </c>
      <c r="C977" s="1" t="s">
        <v>556</v>
      </c>
      <c r="D977" s="1" t="s">
        <v>340</v>
      </c>
      <c r="E977" s="1" t="s">
        <v>557</v>
      </c>
      <c r="F977" s="1" t="s">
        <v>558</v>
      </c>
      <c r="G977" s="1">
        <v>100</v>
      </c>
    </row>
    <row r="978" spans="1:7">
      <c r="A978" s="1" t="s">
        <v>2502</v>
      </c>
      <c r="B978" s="1" t="s">
        <v>2503</v>
      </c>
      <c r="C978" s="1" t="s">
        <v>1017</v>
      </c>
      <c r="D978" s="1" t="s">
        <v>340</v>
      </c>
      <c r="E978" s="1" t="s">
        <v>1018</v>
      </c>
      <c r="F978" s="1" t="s">
        <v>558</v>
      </c>
      <c r="G978" s="1">
        <v>550</v>
      </c>
    </row>
    <row r="979" spans="1:7">
      <c r="A979" s="1" t="s">
        <v>2504</v>
      </c>
      <c r="B979" s="1" t="s">
        <v>2505</v>
      </c>
      <c r="C979" s="1" t="s">
        <v>467</v>
      </c>
      <c r="D979" s="1" t="s">
        <v>64</v>
      </c>
      <c r="E979" s="1" t="s">
        <v>546</v>
      </c>
      <c r="F979" s="1" t="s">
        <v>351</v>
      </c>
      <c r="G979" s="1">
        <v>120</v>
      </c>
    </row>
    <row r="980" spans="1:7">
      <c r="A980" s="1" t="s">
        <v>2506</v>
      </c>
      <c r="B980" s="1" t="s">
        <v>2507</v>
      </c>
      <c r="C980" s="1" t="s">
        <v>339</v>
      </c>
      <c r="D980" s="1" t="s">
        <v>340</v>
      </c>
      <c r="E980" s="1" t="s">
        <v>622</v>
      </c>
      <c r="F980" s="1" t="s">
        <v>342</v>
      </c>
      <c r="G980" s="1">
        <v>100</v>
      </c>
    </row>
    <row r="981" spans="1:7">
      <c r="A981" s="1" t="s">
        <v>2508</v>
      </c>
      <c r="B981" s="1" t="s">
        <v>2509</v>
      </c>
      <c r="C981" s="1" t="s">
        <v>339</v>
      </c>
      <c r="D981" s="1" t="s">
        <v>340</v>
      </c>
      <c r="E981" s="1" t="s">
        <v>474</v>
      </c>
      <c r="F981" s="1" t="s">
        <v>342</v>
      </c>
      <c r="G981" s="1">
        <v>250</v>
      </c>
    </row>
    <row r="982" spans="1:7">
      <c r="A982" s="1" t="s">
        <v>2510</v>
      </c>
      <c r="B982" s="1" t="s">
        <v>2511</v>
      </c>
      <c r="C982" s="1" t="s">
        <v>339</v>
      </c>
      <c r="D982" s="1" t="s">
        <v>340</v>
      </c>
      <c r="E982" s="1" t="s">
        <v>613</v>
      </c>
      <c r="F982" s="1" t="s">
        <v>342</v>
      </c>
      <c r="G982" s="1">
        <v>273</v>
      </c>
    </row>
    <row r="983" spans="1:7">
      <c r="A983" s="1" t="s">
        <v>2512</v>
      </c>
      <c r="B983" s="1" t="s">
        <v>2513</v>
      </c>
      <c r="C983" s="1" t="s">
        <v>345</v>
      </c>
      <c r="D983" s="1" t="s">
        <v>340</v>
      </c>
      <c r="E983" s="1" t="s">
        <v>346</v>
      </c>
      <c r="F983" s="1" t="s">
        <v>347</v>
      </c>
      <c r="G983" s="1">
        <v>704</v>
      </c>
    </row>
    <row r="984" spans="1:7">
      <c r="A984" s="1" t="s">
        <v>2514</v>
      </c>
      <c r="B984" s="1" t="s">
        <v>2515</v>
      </c>
      <c r="C984" s="1" t="s">
        <v>339</v>
      </c>
      <c r="D984" s="1" t="s">
        <v>340</v>
      </c>
      <c r="E984" s="1" t="s">
        <v>677</v>
      </c>
      <c r="F984" s="1" t="s">
        <v>342</v>
      </c>
      <c r="G984" s="1">
        <v>500</v>
      </c>
    </row>
    <row r="985" spans="1:7">
      <c r="A985" s="1" t="s">
        <v>2516</v>
      </c>
      <c r="B985" s="1" t="s">
        <v>2517</v>
      </c>
      <c r="C985" s="1" t="s">
        <v>339</v>
      </c>
      <c r="D985" s="1" t="s">
        <v>340</v>
      </c>
      <c r="E985" s="1" t="s">
        <v>870</v>
      </c>
      <c r="F985" s="1" t="s">
        <v>357</v>
      </c>
      <c r="G985" s="1">
        <v>160</v>
      </c>
    </row>
    <row r="986" spans="1:7">
      <c r="A986" s="1" t="s">
        <v>2518</v>
      </c>
      <c r="B986" s="1" t="s">
        <v>2519</v>
      </c>
      <c r="C986" s="1" t="s">
        <v>625</v>
      </c>
      <c r="D986" s="1" t="s">
        <v>340</v>
      </c>
      <c r="E986" s="1">
        <v>28151</v>
      </c>
      <c r="F986" s="1" t="s">
        <v>419</v>
      </c>
      <c r="G986" s="1">
        <v>100</v>
      </c>
    </row>
    <row r="987" spans="1:7">
      <c r="A987" s="1" t="s">
        <v>2520</v>
      </c>
      <c r="B987" s="1" t="s">
        <v>2521</v>
      </c>
      <c r="C987" s="1" t="s">
        <v>440</v>
      </c>
      <c r="D987" s="1" t="s">
        <v>340</v>
      </c>
      <c r="E987" s="1" t="s">
        <v>441</v>
      </c>
      <c r="F987" s="1" t="s">
        <v>558</v>
      </c>
      <c r="G987" s="1">
        <v>100</v>
      </c>
    </row>
    <row r="988" spans="1:7">
      <c r="A988" s="1" t="s">
        <v>2522</v>
      </c>
      <c r="B988" s="1" t="s">
        <v>2523</v>
      </c>
      <c r="C988" s="1" t="s">
        <v>339</v>
      </c>
      <c r="D988" s="1" t="s">
        <v>340</v>
      </c>
      <c r="E988" s="1" t="s">
        <v>870</v>
      </c>
      <c r="F988" s="1" t="s">
        <v>342</v>
      </c>
      <c r="G988" s="1">
        <v>150</v>
      </c>
    </row>
    <row r="989" spans="1:7">
      <c r="A989" s="1" t="s">
        <v>2524</v>
      </c>
      <c r="B989" s="1" t="s">
        <v>2525</v>
      </c>
      <c r="C989" s="1" t="s">
        <v>339</v>
      </c>
      <c r="D989" s="1" t="s">
        <v>340</v>
      </c>
      <c r="E989" s="1" t="s">
        <v>674</v>
      </c>
      <c r="F989" s="1" t="s">
        <v>342</v>
      </c>
      <c r="G989" s="1">
        <v>100</v>
      </c>
    </row>
    <row r="990" spans="1:7">
      <c r="A990" s="1" t="s">
        <v>2526</v>
      </c>
      <c r="B990" s="1" t="s">
        <v>2527</v>
      </c>
      <c r="C990" s="1" t="s">
        <v>339</v>
      </c>
      <c r="D990" s="1" t="s">
        <v>340</v>
      </c>
      <c r="E990" s="1" t="s">
        <v>404</v>
      </c>
      <c r="F990" s="1" t="s">
        <v>357</v>
      </c>
      <c r="G990" s="1">
        <v>150</v>
      </c>
    </row>
    <row r="991" spans="1:7">
      <c r="A991" s="1" t="s">
        <v>2528</v>
      </c>
      <c r="B991" s="1" t="s">
        <v>2529</v>
      </c>
      <c r="C991" s="1" t="s">
        <v>339</v>
      </c>
      <c r="D991" s="1" t="s">
        <v>340</v>
      </c>
      <c r="E991" s="1" t="s">
        <v>2530</v>
      </c>
      <c r="F991" s="1" t="s">
        <v>342</v>
      </c>
      <c r="G991" s="1">
        <v>500</v>
      </c>
    </row>
    <row r="992" spans="1:7">
      <c r="A992" s="1" t="s">
        <v>2531</v>
      </c>
      <c r="B992" s="1" t="s">
        <v>2532</v>
      </c>
      <c r="C992" s="1" t="s">
        <v>89</v>
      </c>
      <c r="D992" s="1" t="s">
        <v>90</v>
      </c>
      <c r="E992" s="1" t="s">
        <v>2533</v>
      </c>
      <c r="F992" s="1" t="s">
        <v>357</v>
      </c>
      <c r="G992" s="1">
        <v>270</v>
      </c>
    </row>
    <row r="993" spans="1:7">
      <c r="A993" s="1" t="s">
        <v>2534</v>
      </c>
      <c r="B993" s="1" t="s">
        <v>2535</v>
      </c>
      <c r="C993" s="1" t="s">
        <v>339</v>
      </c>
      <c r="D993" s="1" t="s">
        <v>340</v>
      </c>
      <c r="E993" s="1" t="s">
        <v>471</v>
      </c>
      <c r="F993" s="1" t="s">
        <v>357</v>
      </c>
      <c r="G993" s="1">
        <v>230</v>
      </c>
    </row>
    <row r="994" spans="1:7">
      <c r="A994" s="1" t="s">
        <v>2536</v>
      </c>
      <c r="B994" s="1" t="s">
        <v>2537</v>
      </c>
      <c r="C994" s="1" t="s">
        <v>339</v>
      </c>
      <c r="D994" s="1" t="s">
        <v>340</v>
      </c>
      <c r="E994" s="1" t="s">
        <v>404</v>
      </c>
      <c r="F994" s="1" t="s">
        <v>342</v>
      </c>
      <c r="G994" s="1">
        <v>200</v>
      </c>
    </row>
    <row r="995" spans="1:7">
      <c r="A995" s="1" t="s">
        <v>2538</v>
      </c>
      <c r="B995" s="1" t="s">
        <v>2539</v>
      </c>
      <c r="C995" s="1" t="s">
        <v>339</v>
      </c>
      <c r="D995" s="1" t="s">
        <v>340</v>
      </c>
      <c r="E995" s="1" t="s">
        <v>384</v>
      </c>
      <c r="F995" s="1" t="s">
        <v>357</v>
      </c>
      <c r="G995" s="1">
        <v>150</v>
      </c>
    </row>
    <row r="996" spans="1:7">
      <c r="A996" s="1" t="s">
        <v>2540</v>
      </c>
      <c r="B996" s="1" t="s">
        <v>2541</v>
      </c>
      <c r="C996" s="1" t="s">
        <v>339</v>
      </c>
      <c r="D996" s="1" t="s">
        <v>340</v>
      </c>
      <c r="E996" s="1" t="s">
        <v>622</v>
      </c>
      <c r="F996" s="1" t="s">
        <v>342</v>
      </c>
      <c r="G996" s="1">
        <v>100</v>
      </c>
    </row>
    <row r="997" spans="1:7">
      <c r="A997" s="1" t="s">
        <v>2542</v>
      </c>
      <c r="B997" s="1" t="s">
        <v>2543</v>
      </c>
      <c r="C997" s="1" t="s">
        <v>2544</v>
      </c>
      <c r="D997" s="1" t="s">
        <v>695</v>
      </c>
      <c r="E997" s="1" t="s">
        <v>2545</v>
      </c>
      <c r="F997" s="1" t="s">
        <v>357</v>
      </c>
      <c r="G997" s="1">
        <v>900</v>
      </c>
    </row>
    <row r="998" spans="1:7">
      <c r="A998" s="1" t="s">
        <v>2546</v>
      </c>
      <c r="B998" s="1" t="s">
        <v>2547</v>
      </c>
      <c r="C998" s="1" t="s">
        <v>339</v>
      </c>
      <c r="D998" s="1" t="s">
        <v>340</v>
      </c>
      <c r="E998" s="1" t="s">
        <v>390</v>
      </c>
      <c r="F998" s="1" t="s">
        <v>342</v>
      </c>
      <c r="G998" s="1">
        <v>100</v>
      </c>
    </row>
    <row r="999" spans="1:7">
      <c r="A999" s="1" t="s">
        <v>272</v>
      </c>
      <c r="B999" s="1" t="s">
        <v>2548</v>
      </c>
      <c r="C999" s="1" t="s">
        <v>339</v>
      </c>
      <c r="D999" s="1" t="s">
        <v>340</v>
      </c>
      <c r="E999" s="1" t="s">
        <v>577</v>
      </c>
      <c r="F999" s="1" t="s">
        <v>342</v>
      </c>
      <c r="G999" s="1">
        <v>300</v>
      </c>
    </row>
    <row r="1000" spans="1:7">
      <c r="A1000" s="1" t="s">
        <v>2549</v>
      </c>
      <c r="B1000" s="1" t="s">
        <v>2550</v>
      </c>
      <c r="C1000" s="1" t="s">
        <v>723</v>
      </c>
      <c r="D1000" s="1" t="s">
        <v>340</v>
      </c>
      <c r="E1000" s="1" t="s">
        <v>724</v>
      </c>
      <c r="F1000" s="1" t="s">
        <v>364</v>
      </c>
      <c r="G1000" s="1">
        <v>100</v>
      </c>
    </row>
    <row r="1001" spans="1:7">
      <c r="A1001" s="1" t="s">
        <v>2551</v>
      </c>
      <c r="B1001" s="1" t="s">
        <v>823</v>
      </c>
      <c r="C1001" s="1" t="s">
        <v>89</v>
      </c>
      <c r="D1001" s="1" t="s">
        <v>340</v>
      </c>
      <c r="E1001" s="1" t="s">
        <v>1021</v>
      </c>
      <c r="F1001" s="1" t="s">
        <v>381</v>
      </c>
      <c r="G1001" s="1">
        <v>420</v>
      </c>
    </row>
    <row r="1002" spans="1:7">
      <c r="A1002" s="1" t="s">
        <v>2552</v>
      </c>
      <c r="B1002" s="1" t="s">
        <v>2553</v>
      </c>
      <c r="C1002" s="1" t="s">
        <v>345</v>
      </c>
      <c r="D1002" s="1" t="s">
        <v>340</v>
      </c>
      <c r="E1002" s="1" t="s">
        <v>346</v>
      </c>
      <c r="F1002" s="1" t="s">
        <v>357</v>
      </c>
      <c r="G1002" s="1">
        <v>754</v>
      </c>
    </row>
    <row r="1003" spans="1:7">
      <c r="A1003" s="1" t="s">
        <v>2554</v>
      </c>
      <c r="B1003" s="1" t="s">
        <v>2555</v>
      </c>
      <c r="C1003" s="1" t="s">
        <v>460</v>
      </c>
      <c r="D1003" s="1" t="s">
        <v>340</v>
      </c>
      <c r="E1003" s="1" t="s">
        <v>461</v>
      </c>
      <c r="F1003" s="1" t="s">
        <v>342</v>
      </c>
      <c r="G1003" s="1">
        <v>100</v>
      </c>
    </row>
    <row r="1004" spans="1:7">
      <c r="A1004" s="1" t="s">
        <v>2556</v>
      </c>
      <c r="B1004" s="1" t="s">
        <v>2557</v>
      </c>
      <c r="C1004" s="1" t="s">
        <v>339</v>
      </c>
      <c r="D1004" s="1" t="s">
        <v>340</v>
      </c>
      <c r="E1004" s="1" t="s">
        <v>663</v>
      </c>
      <c r="F1004" s="1" t="s">
        <v>342</v>
      </c>
      <c r="G1004" s="1">
        <v>100</v>
      </c>
    </row>
    <row r="1005" spans="1:7">
      <c r="A1005" s="1" t="s">
        <v>2558</v>
      </c>
      <c r="B1005" s="1" t="s">
        <v>2559</v>
      </c>
      <c r="C1005" s="1" t="s">
        <v>339</v>
      </c>
      <c r="D1005" s="1" t="s">
        <v>340</v>
      </c>
      <c r="E1005" s="1" t="s">
        <v>622</v>
      </c>
      <c r="F1005" s="1" t="s">
        <v>342</v>
      </c>
      <c r="G1005" s="1">
        <v>215</v>
      </c>
    </row>
    <row r="1006" spans="1:7">
      <c r="A1006" s="1" t="s">
        <v>2560</v>
      </c>
      <c r="B1006" s="1" t="s">
        <v>2561</v>
      </c>
      <c r="C1006" s="1" t="s">
        <v>339</v>
      </c>
      <c r="D1006" s="1" t="s">
        <v>340</v>
      </c>
      <c r="E1006" s="1" t="s">
        <v>955</v>
      </c>
      <c r="F1006" s="1" t="s">
        <v>342</v>
      </c>
      <c r="G1006" s="1">
        <v>300</v>
      </c>
    </row>
    <row r="1007" spans="1:7">
      <c r="A1007" s="1" t="s">
        <v>2562</v>
      </c>
      <c r="B1007" s="1" t="s">
        <v>2563</v>
      </c>
      <c r="C1007" s="1" t="s">
        <v>362</v>
      </c>
      <c r="D1007" s="1" t="s">
        <v>340</v>
      </c>
      <c r="E1007" s="1" t="s">
        <v>363</v>
      </c>
      <c r="F1007" s="1" t="s">
        <v>364</v>
      </c>
      <c r="G1007" s="1">
        <v>100</v>
      </c>
    </row>
    <row r="1008" spans="1:7">
      <c r="A1008" s="1" t="s">
        <v>2564</v>
      </c>
      <c r="B1008" s="1" t="s">
        <v>2565</v>
      </c>
      <c r="C1008" s="1" t="s">
        <v>408</v>
      </c>
      <c r="D1008" s="1" t="s">
        <v>340</v>
      </c>
      <c r="E1008" s="1" t="s">
        <v>409</v>
      </c>
      <c r="F1008" s="1" t="s">
        <v>342</v>
      </c>
      <c r="G1008" s="1">
        <v>107</v>
      </c>
    </row>
    <row r="1009" spans="1:7">
      <c r="A1009" s="1" t="s">
        <v>2566</v>
      </c>
      <c r="B1009" s="1" t="s">
        <v>2567</v>
      </c>
      <c r="C1009" s="1" t="s">
        <v>2568</v>
      </c>
      <c r="D1009" s="1" t="s">
        <v>90</v>
      </c>
      <c r="E1009" s="1" t="s">
        <v>2569</v>
      </c>
      <c r="F1009" s="1" t="s">
        <v>357</v>
      </c>
      <c r="G1009" s="1">
        <v>120</v>
      </c>
    </row>
    <row r="1010" spans="1:7">
      <c r="A1010" s="1" t="s">
        <v>2570</v>
      </c>
      <c r="B1010" s="1" t="s">
        <v>2571</v>
      </c>
      <c r="C1010" s="1" t="s">
        <v>345</v>
      </c>
      <c r="D1010" s="1" t="s">
        <v>340</v>
      </c>
      <c r="E1010" s="1" t="s">
        <v>422</v>
      </c>
      <c r="F1010" s="1" t="s">
        <v>347</v>
      </c>
      <c r="G1010" s="1">
        <v>130</v>
      </c>
    </row>
    <row r="1011" spans="1:7">
      <c r="A1011" s="1" t="s">
        <v>2572</v>
      </c>
      <c r="B1011" s="1" t="s">
        <v>2573</v>
      </c>
      <c r="C1011" s="1" t="s">
        <v>401</v>
      </c>
      <c r="D1011" s="1" t="s">
        <v>340</v>
      </c>
      <c r="E1011" s="1" t="s">
        <v>980</v>
      </c>
      <c r="F1011" s="1" t="s">
        <v>342</v>
      </c>
      <c r="G1011" s="1">
        <v>550</v>
      </c>
    </row>
    <row r="1012" spans="1:7">
      <c r="A1012" s="1" t="s">
        <v>2574</v>
      </c>
      <c r="B1012" s="1" t="s">
        <v>2575</v>
      </c>
      <c r="C1012" s="1" t="s">
        <v>345</v>
      </c>
      <c r="D1012" s="1" t="s">
        <v>340</v>
      </c>
      <c r="E1012" s="1" t="s">
        <v>422</v>
      </c>
      <c r="F1012" s="1" t="s">
        <v>347</v>
      </c>
      <c r="G1012" s="1">
        <v>115</v>
      </c>
    </row>
    <row r="1013" spans="1:7">
      <c r="A1013" s="1" t="s">
        <v>2576</v>
      </c>
      <c r="B1013" s="1" t="s">
        <v>2577</v>
      </c>
      <c r="C1013" s="1" t="s">
        <v>412</v>
      </c>
      <c r="D1013" s="1" t="s">
        <v>340</v>
      </c>
      <c r="E1013" s="1" t="s">
        <v>813</v>
      </c>
      <c r="F1013" s="1" t="s">
        <v>414</v>
      </c>
      <c r="G1013" s="1">
        <v>100</v>
      </c>
    </row>
    <row r="1014" spans="1:7">
      <c r="A1014" s="1" t="s">
        <v>2578</v>
      </c>
      <c r="B1014" s="1" t="s">
        <v>2579</v>
      </c>
      <c r="C1014" s="1" t="s">
        <v>339</v>
      </c>
      <c r="D1014" s="1" t="s">
        <v>340</v>
      </c>
      <c r="E1014" s="1" t="s">
        <v>384</v>
      </c>
      <c r="F1014" s="1" t="s">
        <v>342</v>
      </c>
      <c r="G1014" s="1">
        <v>250</v>
      </c>
    </row>
    <row r="1015" spans="1:7">
      <c r="A1015" s="1" t="s">
        <v>2580</v>
      </c>
      <c r="B1015" s="1" t="s">
        <v>2581</v>
      </c>
      <c r="C1015" s="1" t="s">
        <v>339</v>
      </c>
      <c r="D1015" s="1" t="s">
        <v>340</v>
      </c>
      <c r="E1015" s="1" t="s">
        <v>870</v>
      </c>
      <c r="F1015" s="1" t="s">
        <v>357</v>
      </c>
      <c r="G1015" s="1">
        <v>280</v>
      </c>
    </row>
    <row r="1016" spans="1:7">
      <c r="A1016" s="1" t="s">
        <v>2582</v>
      </c>
      <c r="B1016" s="1" t="s">
        <v>2583</v>
      </c>
      <c r="C1016" s="1" t="s">
        <v>339</v>
      </c>
      <c r="D1016" s="1" t="s">
        <v>340</v>
      </c>
      <c r="E1016" s="1" t="s">
        <v>577</v>
      </c>
      <c r="F1016" s="1" t="s">
        <v>342</v>
      </c>
      <c r="G1016" s="1">
        <v>110</v>
      </c>
    </row>
    <row r="1017" spans="1:7">
      <c r="A1017" s="1" t="s">
        <v>2584</v>
      </c>
      <c r="B1017" s="1" t="s">
        <v>2585</v>
      </c>
      <c r="C1017" s="1" t="s">
        <v>659</v>
      </c>
      <c r="D1017" s="1" t="s">
        <v>340</v>
      </c>
      <c r="E1017" s="1" t="s">
        <v>660</v>
      </c>
      <c r="F1017" s="1" t="s">
        <v>414</v>
      </c>
      <c r="G1017" s="1">
        <v>150</v>
      </c>
    </row>
    <row r="1018" spans="1:7">
      <c r="A1018" s="1" t="s">
        <v>2586</v>
      </c>
      <c r="B1018" s="1" t="s">
        <v>2587</v>
      </c>
      <c r="C1018" s="1" t="s">
        <v>339</v>
      </c>
      <c r="D1018" s="1" t="s">
        <v>340</v>
      </c>
      <c r="E1018" s="1" t="s">
        <v>715</v>
      </c>
      <c r="F1018" s="1" t="s">
        <v>342</v>
      </c>
      <c r="G1018" s="1">
        <v>500</v>
      </c>
    </row>
    <row r="1019" spans="1:7">
      <c r="A1019" s="1" t="s">
        <v>2588</v>
      </c>
      <c r="B1019" s="1" t="s">
        <v>2589</v>
      </c>
      <c r="C1019" s="1" t="s">
        <v>511</v>
      </c>
      <c r="D1019" s="1" t="s">
        <v>340</v>
      </c>
      <c r="E1019" s="1" t="s">
        <v>536</v>
      </c>
      <c r="F1019" s="1" t="s">
        <v>513</v>
      </c>
      <c r="G1019" s="1">
        <v>140</v>
      </c>
    </row>
    <row r="1020" spans="1:7">
      <c r="A1020" s="1" t="s">
        <v>2590</v>
      </c>
      <c r="B1020" s="1" t="s">
        <v>2591</v>
      </c>
      <c r="C1020" s="1" t="s">
        <v>2592</v>
      </c>
      <c r="D1020" s="1" t="s">
        <v>340</v>
      </c>
      <c r="E1020" s="1" t="s">
        <v>2593</v>
      </c>
      <c r="F1020" s="1" t="s">
        <v>364</v>
      </c>
      <c r="G1020" s="1">
        <v>118</v>
      </c>
    </row>
    <row r="1021" spans="1:7">
      <c r="A1021" s="1" t="s">
        <v>2594</v>
      </c>
      <c r="B1021" s="1" t="s">
        <v>2595</v>
      </c>
      <c r="C1021" s="1" t="s">
        <v>705</v>
      </c>
      <c r="D1021" s="1" t="s">
        <v>340</v>
      </c>
      <c r="E1021" s="1" t="s">
        <v>706</v>
      </c>
      <c r="F1021" s="1" t="s">
        <v>357</v>
      </c>
      <c r="G1021" s="1">
        <v>884</v>
      </c>
    </row>
    <row r="1022" spans="1:7">
      <c r="A1022" s="1" t="s">
        <v>2596</v>
      </c>
      <c r="B1022" s="1" t="s">
        <v>2597</v>
      </c>
      <c r="C1022" s="1" t="s">
        <v>440</v>
      </c>
      <c r="D1022" s="1" t="s">
        <v>340</v>
      </c>
      <c r="E1022" s="1" t="s">
        <v>885</v>
      </c>
      <c r="F1022" s="1" t="s">
        <v>558</v>
      </c>
      <c r="G1022" s="1">
        <v>200</v>
      </c>
    </row>
    <row r="1023" spans="1:7">
      <c r="A1023" s="1" t="s">
        <v>2598</v>
      </c>
      <c r="B1023" s="1" t="s">
        <v>686</v>
      </c>
      <c r="C1023" s="1" t="s">
        <v>379</v>
      </c>
      <c r="D1023" s="1" t="s">
        <v>340</v>
      </c>
      <c r="E1023" s="1" t="s">
        <v>1138</v>
      </c>
      <c r="F1023" s="1" t="s">
        <v>381</v>
      </c>
      <c r="G1023" s="1">
        <v>260</v>
      </c>
    </row>
    <row r="1024" spans="1:7">
      <c r="A1024" s="1" t="s">
        <v>2599</v>
      </c>
      <c r="B1024" s="1" t="s">
        <v>2600</v>
      </c>
      <c r="C1024" s="1" t="s">
        <v>339</v>
      </c>
      <c r="D1024" s="1" t="s">
        <v>340</v>
      </c>
      <c r="E1024" s="1" t="s">
        <v>1052</v>
      </c>
      <c r="F1024" s="1" t="s">
        <v>342</v>
      </c>
      <c r="G1024" s="1">
        <v>100</v>
      </c>
    </row>
    <row r="1025" spans="1:7">
      <c r="A1025" s="1" t="s">
        <v>2601</v>
      </c>
      <c r="B1025" s="1" t="s">
        <v>2602</v>
      </c>
      <c r="C1025" s="1" t="s">
        <v>723</v>
      </c>
      <c r="D1025" s="1" t="s">
        <v>340</v>
      </c>
      <c r="E1025" s="1" t="s">
        <v>1284</v>
      </c>
      <c r="F1025" s="1" t="s">
        <v>364</v>
      </c>
      <c r="G1025" s="1">
        <v>131</v>
      </c>
    </row>
    <row r="1026" spans="1:7">
      <c r="A1026" s="1" t="s">
        <v>2603</v>
      </c>
      <c r="B1026" s="1" t="s">
        <v>2604</v>
      </c>
      <c r="C1026" s="1" t="s">
        <v>339</v>
      </c>
      <c r="D1026" s="1" t="s">
        <v>340</v>
      </c>
      <c r="E1026" s="1" t="s">
        <v>1155</v>
      </c>
      <c r="F1026" s="1" t="s">
        <v>357</v>
      </c>
      <c r="G1026" s="1">
        <v>200</v>
      </c>
    </row>
    <row r="1027" spans="1:7">
      <c r="A1027" s="1" t="s">
        <v>2605</v>
      </c>
      <c r="B1027" s="1" t="s">
        <v>2606</v>
      </c>
      <c r="C1027" s="1" t="s">
        <v>339</v>
      </c>
      <c r="D1027" s="1" t="s">
        <v>340</v>
      </c>
      <c r="E1027" s="1" t="s">
        <v>2607</v>
      </c>
      <c r="F1027" s="1" t="s">
        <v>342</v>
      </c>
      <c r="G1027" s="1">
        <v>225</v>
      </c>
    </row>
    <row r="1028" spans="1:7">
      <c r="A1028" s="1" t="s">
        <v>2608</v>
      </c>
      <c r="B1028" s="1" t="s">
        <v>2609</v>
      </c>
      <c r="C1028" s="1" t="s">
        <v>556</v>
      </c>
      <c r="D1028" s="1" t="s">
        <v>340</v>
      </c>
      <c r="E1028" s="1" t="s">
        <v>557</v>
      </c>
      <c r="F1028" s="1" t="s">
        <v>558</v>
      </c>
      <c r="G1028" s="1">
        <v>200</v>
      </c>
    </row>
    <row r="1029" spans="1:7">
      <c r="A1029" s="1" t="s">
        <v>2610</v>
      </c>
      <c r="B1029" s="1" t="s">
        <v>2611</v>
      </c>
      <c r="C1029" s="1" t="s">
        <v>339</v>
      </c>
      <c r="D1029" s="1" t="s">
        <v>340</v>
      </c>
      <c r="E1029" s="1" t="s">
        <v>677</v>
      </c>
      <c r="F1029" s="1" t="s">
        <v>342</v>
      </c>
      <c r="G1029" s="1">
        <v>100</v>
      </c>
    </row>
    <row r="1030" spans="1:7">
      <c r="A1030" s="1" t="s">
        <v>2612</v>
      </c>
      <c r="B1030" s="1" t="s">
        <v>2613</v>
      </c>
      <c r="C1030" s="1" t="s">
        <v>556</v>
      </c>
      <c r="D1030" s="1" t="s">
        <v>340</v>
      </c>
      <c r="E1030" s="1" t="s">
        <v>557</v>
      </c>
      <c r="F1030" s="1" t="s">
        <v>558</v>
      </c>
      <c r="G1030" s="1">
        <v>350</v>
      </c>
    </row>
    <row r="1031" spans="1:7">
      <c r="A1031" s="1" t="s">
        <v>2614</v>
      </c>
      <c r="B1031" s="1" t="s">
        <v>439</v>
      </c>
      <c r="C1031" s="1" t="s">
        <v>1017</v>
      </c>
      <c r="D1031" s="1" t="s">
        <v>340</v>
      </c>
      <c r="E1031" s="1" t="s">
        <v>1018</v>
      </c>
      <c r="F1031" s="1" t="s">
        <v>558</v>
      </c>
      <c r="G1031" s="1">
        <v>120</v>
      </c>
    </row>
    <row r="1032" spans="1:7">
      <c r="A1032" s="1" t="s">
        <v>2615</v>
      </c>
      <c r="B1032" s="1" t="s">
        <v>2616</v>
      </c>
      <c r="C1032" s="1" t="s">
        <v>824</v>
      </c>
      <c r="D1032" s="1" t="s">
        <v>340</v>
      </c>
      <c r="E1032" s="1" t="s">
        <v>825</v>
      </c>
      <c r="F1032" s="1" t="s">
        <v>419</v>
      </c>
      <c r="G1032" s="1">
        <v>400</v>
      </c>
    </row>
    <row r="1033" spans="1:7">
      <c r="A1033" s="1" t="s">
        <v>2617</v>
      </c>
      <c r="B1033" s="1" t="s">
        <v>2618</v>
      </c>
      <c r="C1033" s="1" t="s">
        <v>339</v>
      </c>
      <c r="D1033" s="1" t="s">
        <v>340</v>
      </c>
      <c r="E1033" s="1" t="s">
        <v>1700</v>
      </c>
      <c r="F1033" s="1" t="s">
        <v>342</v>
      </c>
      <c r="G1033" s="1">
        <v>222</v>
      </c>
    </row>
    <row r="1034" spans="1:7">
      <c r="A1034" s="1" t="s">
        <v>2619</v>
      </c>
      <c r="B1034" s="1" t="s">
        <v>2620</v>
      </c>
      <c r="C1034" s="1" t="s">
        <v>339</v>
      </c>
      <c r="D1034" s="1" t="s">
        <v>340</v>
      </c>
      <c r="E1034" s="1" t="s">
        <v>674</v>
      </c>
      <c r="F1034" s="1" t="s">
        <v>342</v>
      </c>
      <c r="G1034" s="1">
        <v>100</v>
      </c>
    </row>
    <row r="1035" spans="1:7">
      <c r="A1035" s="1" t="s">
        <v>2621</v>
      </c>
      <c r="B1035" s="1" t="s">
        <v>2622</v>
      </c>
      <c r="C1035" s="1" t="s">
        <v>339</v>
      </c>
      <c r="D1035" s="1" t="s">
        <v>340</v>
      </c>
      <c r="E1035" s="1" t="s">
        <v>629</v>
      </c>
      <c r="F1035" s="1" t="s">
        <v>342</v>
      </c>
      <c r="G1035" s="1">
        <v>130</v>
      </c>
    </row>
    <row r="1036" spans="1:7">
      <c r="A1036" s="1" t="s">
        <v>2623</v>
      </c>
      <c r="B1036" s="1" t="s">
        <v>2624</v>
      </c>
      <c r="C1036" s="1" t="s">
        <v>2625</v>
      </c>
      <c r="D1036" s="1" t="s">
        <v>840</v>
      </c>
      <c r="E1036" s="1" t="s">
        <v>2626</v>
      </c>
      <c r="F1036" s="1" t="s">
        <v>357</v>
      </c>
      <c r="G1036" s="1">
        <v>250</v>
      </c>
    </row>
    <row r="1037" spans="1:7">
      <c r="A1037" s="1" t="s">
        <v>2627</v>
      </c>
      <c r="B1037" s="1" t="s">
        <v>2628</v>
      </c>
      <c r="C1037" s="1" t="s">
        <v>467</v>
      </c>
      <c r="D1037" s="1" t="s">
        <v>64</v>
      </c>
      <c r="E1037" s="1" t="s">
        <v>468</v>
      </c>
      <c r="F1037" s="1" t="s">
        <v>357</v>
      </c>
      <c r="G1037" s="1">
        <v>852</v>
      </c>
    </row>
    <row r="1038" spans="1:7">
      <c r="A1038" s="1" t="s">
        <v>2629</v>
      </c>
      <c r="B1038" s="1" t="s">
        <v>2630</v>
      </c>
      <c r="C1038" s="1" t="s">
        <v>723</v>
      </c>
      <c r="D1038" s="1" t="s">
        <v>340</v>
      </c>
      <c r="E1038" s="1" t="s">
        <v>1284</v>
      </c>
      <c r="F1038" s="1" t="s">
        <v>364</v>
      </c>
      <c r="G1038" s="1">
        <v>180</v>
      </c>
    </row>
    <row r="1039" spans="1:7">
      <c r="A1039" s="1" t="s">
        <v>2631</v>
      </c>
      <c r="B1039" s="1" t="s">
        <v>2632</v>
      </c>
      <c r="C1039" s="1" t="s">
        <v>723</v>
      </c>
      <c r="D1039" s="1" t="s">
        <v>340</v>
      </c>
      <c r="E1039" s="1" t="s">
        <v>1284</v>
      </c>
      <c r="F1039" s="1" t="s">
        <v>364</v>
      </c>
      <c r="G1039" s="1">
        <v>200</v>
      </c>
    </row>
    <row r="1040" spans="1:7">
      <c r="A1040" s="1" t="s">
        <v>2633</v>
      </c>
      <c r="B1040" s="1" t="s">
        <v>2634</v>
      </c>
      <c r="C1040" s="1" t="s">
        <v>436</v>
      </c>
      <c r="D1040" s="1" t="s">
        <v>340</v>
      </c>
      <c r="E1040" s="1" t="s">
        <v>610</v>
      </c>
      <c r="F1040" s="1" t="s">
        <v>565</v>
      </c>
      <c r="G1040" s="1">
        <v>899</v>
      </c>
    </row>
    <row r="1041" spans="1:7">
      <c r="A1041" s="1" t="s">
        <v>2635</v>
      </c>
      <c r="B1041" s="1" t="s">
        <v>2636</v>
      </c>
      <c r="C1041" s="1" t="s">
        <v>436</v>
      </c>
      <c r="D1041" s="1" t="s">
        <v>340</v>
      </c>
      <c r="E1041" s="1" t="s">
        <v>771</v>
      </c>
      <c r="F1041" s="1" t="s">
        <v>565</v>
      </c>
      <c r="G1041" s="1">
        <v>250</v>
      </c>
    </row>
    <row r="1042" spans="1:7">
      <c r="A1042" s="1" t="s">
        <v>2637</v>
      </c>
      <c r="B1042" s="1" t="s">
        <v>2638</v>
      </c>
      <c r="C1042" s="1" t="s">
        <v>436</v>
      </c>
      <c r="D1042" s="1" t="s">
        <v>340</v>
      </c>
      <c r="E1042" s="1" t="s">
        <v>610</v>
      </c>
      <c r="F1042" s="1" t="s">
        <v>565</v>
      </c>
      <c r="G1042" s="1">
        <v>1729</v>
      </c>
    </row>
    <row r="1043" spans="1:7">
      <c r="A1043" s="1" t="s">
        <v>2639</v>
      </c>
      <c r="B1043" s="1" t="s">
        <v>2640</v>
      </c>
      <c r="C1043" s="1" t="s">
        <v>436</v>
      </c>
      <c r="D1043" s="1" t="s">
        <v>340</v>
      </c>
      <c r="E1043" s="1" t="s">
        <v>771</v>
      </c>
      <c r="F1043" s="1" t="s">
        <v>565</v>
      </c>
      <c r="G1043" s="1">
        <v>530</v>
      </c>
    </row>
    <row r="1044" spans="1:7">
      <c r="A1044" s="1" t="s">
        <v>2641</v>
      </c>
      <c r="B1044" s="1" t="s">
        <v>2642</v>
      </c>
      <c r="C1044" s="1" t="s">
        <v>436</v>
      </c>
      <c r="D1044" s="1" t="s">
        <v>340</v>
      </c>
      <c r="E1044" s="1" t="s">
        <v>771</v>
      </c>
      <c r="F1044" s="1" t="s">
        <v>565</v>
      </c>
      <c r="G1044" s="1">
        <v>3300</v>
      </c>
    </row>
    <row r="1045" spans="1:7">
      <c r="A1045" s="1" t="s">
        <v>2643</v>
      </c>
      <c r="B1045" s="1" t="s">
        <v>2644</v>
      </c>
      <c r="C1045" s="1" t="s">
        <v>339</v>
      </c>
      <c r="D1045" s="1" t="s">
        <v>340</v>
      </c>
      <c r="E1045" s="1" t="s">
        <v>480</v>
      </c>
      <c r="F1045" s="1" t="s">
        <v>342</v>
      </c>
      <c r="G1045" s="1">
        <v>500</v>
      </c>
    </row>
    <row r="1046" spans="1:7">
      <c r="A1046" s="1" t="s">
        <v>2645</v>
      </c>
      <c r="B1046" s="1" t="s">
        <v>2646</v>
      </c>
      <c r="C1046" s="1" t="s">
        <v>747</v>
      </c>
      <c r="D1046" s="1" t="s">
        <v>340</v>
      </c>
      <c r="E1046" s="1" t="s">
        <v>748</v>
      </c>
      <c r="F1046" s="1" t="s">
        <v>347</v>
      </c>
      <c r="G1046" s="1">
        <v>115</v>
      </c>
    </row>
    <row r="1047" spans="1:7">
      <c r="A1047" s="1" t="s">
        <v>2647</v>
      </c>
      <c r="B1047" s="1" t="s">
        <v>2648</v>
      </c>
      <c r="C1047" s="1" t="s">
        <v>447</v>
      </c>
      <c r="D1047" s="1" t="s">
        <v>340</v>
      </c>
      <c r="E1047" s="1" t="s">
        <v>448</v>
      </c>
      <c r="F1047" s="1" t="s">
        <v>449</v>
      </c>
      <c r="G1047" s="1">
        <v>130</v>
      </c>
    </row>
    <row r="1048" spans="1:7">
      <c r="A1048" s="1" t="s">
        <v>2649</v>
      </c>
      <c r="B1048" s="1" t="s">
        <v>2650</v>
      </c>
      <c r="C1048" s="1" t="s">
        <v>440</v>
      </c>
      <c r="D1048" s="1" t="s">
        <v>340</v>
      </c>
      <c r="E1048" s="1" t="s">
        <v>885</v>
      </c>
      <c r="F1048" s="1" t="s">
        <v>558</v>
      </c>
      <c r="G1048" s="1">
        <v>120</v>
      </c>
    </row>
    <row r="1049" spans="1:7">
      <c r="A1049" s="1" t="s">
        <v>2651</v>
      </c>
      <c r="B1049" s="1" t="s">
        <v>2652</v>
      </c>
      <c r="C1049" s="1" t="s">
        <v>339</v>
      </c>
      <c r="D1049" s="1" t="s">
        <v>340</v>
      </c>
      <c r="E1049" s="1" t="s">
        <v>1052</v>
      </c>
      <c r="F1049" s="1" t="s">
        <v>357</v>
      </c>
      <c r="G1049" s="1">
        <v>350</v>
      </c>
    </row>
    <row r="1050" spans="1:7">
      <c r="A1050" s="1" t="s">
        <v>2653</v>
      </c>
      <c r="B1050" s="1" t="s">
        <v>2654</v>
      </c>
      <c r="C1050" s="1" t="s">
        <v>379</v>
      </c>
      <c r="D1050" s="1" t="s">
        <v>340</v>
      </c>
      <c r="E1050" s="1" t="s">
        <v>380</v>
      </c>
      <c r="F1050" s="1" t="s">
        <v>381</v>
      </c>
      <c r="G1050" s="1">
        <v>1300</v>
      </c>
    </row>
    <row r="1051" spans="1:7">
      <c r="A1051" s="1" t="s">
        <v>2655</v>
      </c>
      <c r="B1051" s="1" t="s">
        <v>2656</v>
      </c>
      <c r="C1051" s="1" t="s">
        <v>460</v>
      </c>
      <c r="D1051" s="1" t="s">
        <v>340</v>
      </c>
      <c r="E1051" s="1" t="s">
        <v>461</v>
      </c>
      <c r="F1051" s="1" t="s">
        <v>342</v>
      </c>
      <c r="G1051" s="1">
        <v>387</v>
      </c>
    </row>
    <row r="1052" spans="1:7">
      <c r="A1052" s="1" t="s">
        <v>2657</v>
      </c>
      <c r="B1052" s="1" t="s">
        <v>1516</v>
      </c>
      <c r="C1052" s="1" t="s">
        <v>339</v>
      </c>
      <c r="D1052" s="1" t="s">
        <v>340</v>
      </c>
      <c r="E1052" s="1" t="s">
        <v>454</v>
      </c>
      <c r="F1052" s="1" t="s">
        <v>342</v>
      </c>
      <c r="G1052" s="1">
        <v>180</v>
      </c>
    </row>
    <row r="1053" spans="1:7">
      <c r="A1053" s="1" t="s">
        <v>2658</v>
      </c>
      <c r="B1053" s="1" t="s">
        <v>1288</v>
      </c>
      <c r="C1053" s="1" t="s">
        <v>397</v>
      </c>
      <c r="D1053" s="1" t="s">
        <v>340</v>
      </c>
      <c r="E1053" s="1" t="s">
        <v>398</v>
      </c>
      <c r="F1053" s="1" t="s">
        <v>342</v>
      </c>
      <c r="G1053" s="1">
        <v>100</v>
      </c>
    </row>
    <row r="1054" spans="1:7">
      <c r="A1054" s="1" t="s">
        <v>2659</v>
      </c>
      <c r="B1054" s="1" t="s">
        <v>2660</v>
      </c>
      <c r="C1054" s="1" t="s">
        <v>339</v>
      </c>
      <c r="D1054" s="1" t="s">
        <v>340</v>
      </c>
      <c r="E1054" s="1" t="s">
        <v>622</v>
      </c>
      <c r="F1054" s="1" t="s">
        <v>342</v>
      </c>
      <c r="G1054" s="1">
        <v>300</v>
      </c>
    </row>
    <row r="1055" spans="1:7">
      <c r="A1055" s="1" t="s">
        <v>2661</v>
      </c>
      <c r="B1055" s="1" t="s">
        <v>2662</v>
      </c>
      <c r="C1055" s="1" t="s">
        <v>666</v>
      </c>
      <c r="D1055" s="1" t="s">
        <v>340</v>
      </c>
      <c r="E1055" s="1" t="s">
        <v>667</v>
      </c>
      <c r="F1055" s="1" t="s">
        <v>357</v>
      </c>
      <c r="G1055" s="1">
        <v>100</v>
      </c>
    </row>
    <row r="1056" spans="1:7">
      <c r="A1056" s="1" t="s">
        <v>2663</v>
      </c>
      <c r="B1056" s="1" t="s">
        <v>2664</v>
      </c>
      <c r="C1056" s="1" t="s">
        <v>339</v>
      </c>
      <c r="D1056" s="1" t="s">
        <v>340</v>
      </c>
      <c r="E1056" s="1" t="s">
        <v>404</v>
      </c>
      <c r="F1056" s="1" t="s">
        <v>342</v>
      </c>
      <c r="G1056" s="1">
        <v>104</v>
      </c>
    </row>
    <row r="1057" spans="1:7">
      <c r="A1057" s="1" t="s">
        <v>2665</v>
      </c>
      <c r="B1057" s="1" t="s">
        <v>2666</v>
      </c>
      <c r="C1057" s="1" t="s">
        <v>339</v>
      </c>
      <c r="D1057" s="1" t="s">
        <v>340</v>
      </c>
      <c r="E1057" s="1" t="s">
        <v>384</v>
      </c>
      <c r="F1057" s="1" t="s">
        <v>342</v>
      </c>
      <c r="G1057" s="1">
        <v>125</v>
      </c>
    </row>
    <row r="1058" spans="1:7">
      <c r="A1058" s="1" t="s">
        <v>2667</v>
      </c>
      <c r="B1058" s="1" t="s">
        <v>917</v>
      </c>
      <c r="C1058" s="1" t="s">
        <v>511</v>
      </c>
      <c r="D1058" s="1" t="s">
        <v>340</v>
      </c>
      <c r="E1058" s="1" t="s">
        <v>852</v>
      </c>
      <c r="F1058" s="1" t="s">
        <v>513</v>
      </c>
      <c r="G1058" s="1">
        <v>800</v>
      </c>
    </row>
    <row r="1059" spans="1:7">
      <c r="A1059" s="1" t="s">
        <v>2668</v>
      </c>
      <c r="B1059" s="1" t="s">
        <v>2669</v>
      </c>
      <c r="C1059" s="1" t="s">
        <v>339</v>
      </c>
      <c r="D1059" s="1" t="s">
        <v>340</v>
      </c>
      <c r="E1059" s="1" t="s">
        <v>480</v>
      </c>
      <c r="F1059" s="1" t="s">
        <v>342</v>
      </c>
      <c r="G1059" s="1">
        <v>135</v>
      </c>
    </row>
    <row r="1060" spans="1:7">
      <c r="A1060" s="1" t="s">
        <v>2670</v>
      </c>
      <c r="B1060" s="1" t="s">
        <v>2671</v>
      </c>
      <c r="C1060" s="1" t="s">
        <v>339</v>
      </c>
      <c r="D1060" s="1" t="s">
        <v>340</v>
      </c>
      <c r="E1060" s="1" t="s">
        <v>384</v>
      </c>
      <c r="F1060" s="1" t="s">
        <v>342</v>
      </c>
      <c r="G1060" s="1">
        <v>100</v>
      </c>
    </row>
    <row r="1061" spans="1:7">
      <c r="A1061" s="1" t="s">
        <v>2672</v>
      </c>
      <c r="B1061" s="1" t="s">
        <v>2673</v>
      </c>
      <c r="C1061" s="1" t="s">
        <v>362</v>
      </c>
      <c r="D1061" s="1" t="s">
        <v>340</v>
      </c>
      <c r="E1061" s="1" t="s">
        <v>518</v>
      </c>
      <c r="F1061" s="1" t="s">
        <v>364</v>
      </c>
      <c r="G1061" s="1">
        <v>100</v>
      </c>
    </row>
    <row r="1062" spans="1:7">
      <c r="A1062" s="1" t="s">
        <v>2674</v>
      </c>
      <c r="B1062" s="1" t="s">
        <v>2675</v>
      </c>
      <c r="C1062" s="1" t="s">
        <v>339</v>
      </c>
      <c r="D1062" s="1" t="s">
        <v>340</v>
      </c>
      <c r="E1062" s="1" t="s">
        <v>1155</v>
      </c>
      <c r="F1062" s="1" t="s">
        <v>342</v>
      </c>
      <c r="G1062" s="1">
        <v>100</v>
      </c>
    </row>
    <row r="1063" spans="1:7">
      <c r="A1063" s="1" t="s">
        <v>2676</v>
      </c>
      <c r="B1063" s="1" t="s">
        <v>2677</v>
      </c>
      <c r="C1063" s="1" t="s">
        <v>339</v>
      </c>
      <c r="D1063" s="1" t="s">
        <v>340</v>
      </c>
      <c r="E1063" s="1" t="s">
        <v>830</v>
      </c>
      <c r="F1063" s="1" t="s">
        <v>342</v>
      </c>
      <c r="G1063" s="1">
        <v>100</v>
      </c>
    </row>
    <row r="1064" spans="1:7">
      <c r="A1064" s="1" t="s">
        <v>2678</v>
      </c>
      <c r="B1064" s="1" t="s">
        <v>2679</v>
      </c>
      <c r="C1064" s="1" t="s">
        <v>379</v>
      </c>
      <c r="D1064" s="1" t="s">
        <v>340</v>
      </c>
      <c r="E1064" s="1" t="s">
        <v>380</v>
      </c>
      <c r="F1064" s="1" t="s">
        <v>381</v>
      </c>
      <c r="G1064" s="1">
        <v>100</v>
      </c>
    </row>
    <row r="1065" spans="1:7">
      <c r="A1065" s="1" t="s">
        <v>2680</v>
      </c>
      <c r="B1065" s="1" t="s">
        <v>2681</v>
      </c>
      <c r="C1065" s="1" t="s">
        <v>436</v>
      </c>
      <c r="D1065" s="1" t="s">
        <v>340</v>
      </c>
      <c r="E1065" s="1" t="s">
        <v>771</v>
      </c>
      <c r="F1065" s="1" t="s">
        <v>565</v>
      </c>
      <c r="G1065" s="1">
        <v>200</v>
      </c>
    </row>
    <row r="1066" spans="1:7">
      <c r="A1066" s="1" t="s">
        <v>2682</v>
      </c>
      <c r="B1066" s="1" t="s">
        <v>2683</v>
      </c>
      <c r="C1066" s="1" t="s">
        <v>339</v>
      </c>
      <c r="D1066" s="1" t="s">
        <v>340</v>
      </c>
      <c r="E1066" s="1" t="s">
        <v>753</v>
      </c>
      <c r="F1066" s="1" t="s">
        <v>342</v>
      </c>
      <c r="G1066" s="1">
        <v>147</v>
      </c>
    </row>
    <row r="1067" spans="1:7">
      <c r="A1067" s="1" t="s">
        <v>273</v>
      </c>
      <c r="B1067" s="1" t="s">
        <v>2684</v>
      </c>
      <c r="C1067" s="1" t="s">
        <v>339</v>
      </c>
      <c r="D1067" s="1" t="s">
        <v>340</v>
      </c>
      <c r="E1067" s="1" t="s">
        <v>457</v>
      </c>
      <c r="F1067" s="1" t="s">
        <v>357</v>
      </c>
      <c r="G1067" s="1">
        <v>300</v>
      </c>
    </row>
    <row r="1068" spans="1:7">
      <c r="A1068" s="1" t="s">
        <v>2685</v>
      </c>
      <c r="B1068" s="1" t="s">
        <v>2686</v>
      </c>
      <c r="C1068" s="1" t="s">
        <v>339</v>
      </c>
      <c r="D1068" s="1" t="s">
        <v>340</v>
      </c>
      <c r="E1068" s="1" t="s">
        <v>629</v>
      </c>
      <c r="F1068" s="1" t="s">
        <v>342</v>
      </c>
      <c r="G1068" s="1">
        <v>300</v>
      </c>
    </row>
    <row r="1069" spans="1:7">
      <c r="A1069" s="1" t="s">
        <v>2687</v>
      </c>
      <c r="B1069" s="1" t="s">
        <v>2688</v>
      </c>
      <c r="C1069" s="1" t="s">
        <v>362</v>
      </c>
      <c r="D1069" s="1" t="s">
        <v>340</v>
      </c>
      <c r="E1069" s="1" t="s">
        <v>430</v>
      </c>
      <c r="F1069" s="1" t="s">
        <v>364</v>
      </c>
      <c r="G1069" s="1">
        <v>370</v>
      </c>
    </row>
    <row r="1070" spans="1:7">
      <c r="A1070" s="1" t="s">
        <v>2689</v>
      </c>
      <c r="B1070" s="1" t="s">
        <v>2690</v>
      </c>
      <c r="C1070" s="1" t="s">
        <v>666</v>
      </c>
      <c r="D1070" s="1" t="s">
        <v>340</v>
      </c>
      <c r="E1070" s="1" t="s">
        <v>667</v>
      </c>
      <c r="F1070" s="1" t="s">
        <v>558</v>
      </c>
      <c r="G1070" s="1">
        <v>200</v>
      </c>
    </row>
    <row r="1071" spans="1:7">
      <c r="A1071" s="1" t="s">
        <v>2691</v>
      </c>
      <c r="B1071" s="1" t="s">
        <v>2692</v>
      </c>
      <c r="C1071" s="1" t="s">
        <v>339</v>
      </c>
      <c r="D1071" s="1" t="s">
        <v>340</v>
      </c>
      <c r="E1071" s="1" t="s">
        <v>471</v>
      </c>
      <c r="F1071" s="1" t="s">
        <v>342</v>
      </c>
      <c r="G1071" s="1">
        <v>160</v>
      </c>
    </row>
    <row r="1072" spans="1:7">
      <c r="A1072" s="1" t="s">
        <v>274</v>
      </c>
      <c r="B1072" s="1" t="s">
        <v>2693</v>
      </c>
      <c r="C1072" s="1" t="s">
        <v>339</v>
      </c>
      <c r="D1072" s="1" t="s">
        <v>340</v>
      </c>
      <c r="E1072" s="1" t="s">
        <v>376</v>
      </c>
      <c r="F1072" s="1" t="s">
        <v>342</v>
      </c>
      <c r="G1072" s="1">
        <v>100</v>
      </c>
    </row>
    <row r="1073" spans="1:7">
      <c r="A1073" s="1" t="s">
        <v>2694</v>
      </c>
      <c r="B1073" s="1" t="s">
        <v>2695</v>
      </c>
      <c r="C1073" s="1" t="s">
        <v>339</v>
      </c>
      <c r="D1073" s="1" t="s">
        <v>340</v>
      </c>
      <c r="E1073" s="1" t="s">
        <v>613</v>
      </c>
      <c r="F1073" s="1" t="s">
        <v>342</v>
      </c>
      <c r="G1073" s="1">
        <v>100</v>
      </c>
    </row>
    <row r="1074" spans="1:7">
      <c r="A1074" s="1" t="s">
        <v>275</v>
      </c>
      <c r="B1074" s="1" t="s">
        <v>2696</v>
      </c>
      <c r="C1074" s="1" t="s">
        <v>339</v>
      </c>
      <c r="D1074" s="1" t="s">
        <v>340</v>
      </c>
      <c r="E1074" s="1" t="s">
        <v>390</v>
      </c>
      <c r="F1074" s="1" t="s">
        <v>342</v>
      </c>
      <c r="G1074" s="1">
        <v>250</v>
      </c>
    </row>
    <row r="1075" spans="1:7">
      <c r="A1075" s="1" t="s">
        <v>2697</v>
      </c>
      <c r="B1075" s="1" t="s">
        <v>1790</v>
      </c>
      <c r="C1075" s="1" t="s">
        <v>467</v>
      </c>
      <c r="D1075" s="1" t="s">
        <v>64</v>
      </c>
      <c r="E1075" s="1" t="s">
        <v>468</v>
      </c>
      <c r="F1075" s="1" t="s">
        <v>351</v>
      </c>
      <c r="G1075" s="1">
        <v>430</v>
      </c>
    </row>
    <row r="1076" spans="1:7">
      <c r="A1076" s="1" t="s">
        <v>2698</v>
      </c>
      <c r="B1076" s="1" t="s">
        <v>1118</v>
      </c>
      <c r="C1076" s="1" t="s">
        <v>584</v>
      </c>
      <c r="D1076" s="1" t="s">
        <v>64</v>
      </c>
      <c r="E1076" s="1" t="s">
        <v>1065</v>
      </c>
      <c r="F1076" s="1" t="s">
        <v>584</v>
      </c>
      <c r="G1076" s="1">
        <v>150</v>
      </c>
    </row>
    <row r="1077" spans="1:7">
      <c r="A1077" s="1" t="s">
        <v>2699</v>
      </c>
      <c r="B1077" s="1" t="s">
        <v>2700</v>
      </c>
      <c r="C1077" s="1" t="s">
        <v>447</v>
      </c>
      <c r="D1077" s="1" t="s">
        <v>340</v>
      </c>
      <c r="E1077" s="1" t="s">
        <v>448</v>
      </c>
      <c r="F1077" s="1" t="s">
        <v>449</v>
      </c>
      <c r="G1077" s="1">
        <v>265</v>
      </c>
    </row>
    <row r="1078" spans="1:7">
      <c r="A1078" s="1" t="s">
        <v>2701</v>
      </c>
      <c r="B1078" s="1" t="s">
        <v>2702</v>
      </c>
      <c r="C1078" s="1" t="s">
        <v>339</v>
      </c>
      <c r="D1078" s="1" t="s">
        <v>340</v>
      </c>
      <c r="E1078" s="1" t="s">
        <v>2703</v>
      </c>
      <c r="F1078" s="1" t="s">
        <v>342</v>
      </c>
      <c r="G1078" s="1">
        <v>200</v>
      </c>
    </row>
    <row r="1079" spans="1:7">
      <c r="A1079" s="1" t="s">
        <v>2704</v>
      </c>
      <c r="B1079" s="1" t="s">
        <v>2705</v>
      </c>
      <c r="C1079" s="1" t="s">
        <v>1746</v>
      </c>
      <c r="D1079" s="1" t="s">
        <v>340</v>
      </c>
      <c r="E1079" s="1" t="s">
        <v>1747</v>
      </c>
      <c r="F1079" s="1" t="s">
        <v>565</v>
      </c>
      <c r="G1079" s="1">
        <v>250</v>
      </c>
    </row>
    <row r="1080" spans="1:7">
      <c r="A1080" s="1" t="s">
        <v>2704</v>
      </c>
      <c r="B1080" s="1" t="s">
        <v>1845</v>
      </c>
      <c r="C1080" s="1" t="s">
        <v>1171</v>
      </c>
      <c r="D1080" s="1" t="s">
        <v>340</v>
      </c>
      <c r="E1080" s="1" t="s">
        <v>1172</v>
      </c>
      <c r="F1080" s="1" t="s">
        <v>427</v>
      </c>
      <c r="G1080" s="1">
        <v>300</v>
      </c>
    </row>
    <row r="1081" spans="1:7">
      <c r="A1081" s="1" t="s">
        <v>2706</v>
      </c>
      <c r="B1081" s="1" t="s">
        <v>2707</v>
      </c>
      <c r="C1081" s="1" t="s">
        <v>339</v>
      </c>
      <c r="D1081" s="1" t="s">
        <v>340</v>
      </c>
      <c r="E1081" s="1" t="s">
        <v>715</v>
      </c>
      <c r="F1081" s="1" t="s">
        <v>342</v>
      </c>
      <c r="G1081" s="1">
        <v>160</v>
      </c>
    </row>
    <row r="1082" spans="1:7">
      <c r="A1082" s="1" t="s">
        <v>2708</v>
      </c>
      <c r="B1082" s="1" t="s">
        <v>2709</v>
      </c>
      <c r="C1082" s="1" t="s">
        <v>412</v>
      </c>
      <c r="D1082" s="1" t="s">
        <v>340</v>
      </c>
      <c r="E1082" s="1" t="s">
        <v>586</v>
      </c>
      <c r="F1082" s="1" t="s">
        <v>414</v>
      </c>
      <c r="G1082" s="1">
        <v>570</v>
      </c>
    </row>
    <row r="1083" spans="1:7">
      <c r="A1083" s="1" t="s">
        <v>2710</v>
      </c>
      <c r="B1083" s="1" t="s">
        <v>2711</v>
      </c>
      <c r="C1083" s="1" t="s">
        <v>339</v>
      </c>
      <c r="D1083" s="1" t="s">
        <v>340</v>
      </c>
      <c r="E1083" s="1" t="s">
        <v>622</v>
      </c>
      <c r="F1083" s="1" t="s">
        <v>342</v>
      </c>
      <c r="G1083" s="1">
        <v>180</v>
      </c>
    </row>
    <row r="1084" spans="1:7">
      <c r="A1084" s="1" t="s">
        <v>2712</v>
      </c>
      <c r="B1084" s="1" t="s">
        <v>2713</v>
      </c>
      <c r="C1084" s="1" t="s">
        <v>408</v>
      </c>
      <c r="D1084" s="1" t="s">
        <v>340</v>
      </c>
      <c r="E1084" s="1" t="s">
        <v>409</v>
      </c>
      <c r="F1084" s="1" t="s">
        <v>342</v>
      </c>
      <c r="G1084" s="1">
        <v>100</v>
      </c>
    </row>
    <row r="1085" spans="1:7">
      <c r="A1085" s="1" t="s">
        <v>2714</v>
      </c>
      <c r="B1085" s="1" t="s">
        <v>1206</v>
      </c>
      <c r="C1085" s="1" t="s">
        <v>606</v>
      </c>
      <c r="D1085" s="1" t="s">
        <v>340</v>
      </c>
      <c r="E1085" s="1">
        <v>28103</v>
      </c>
      <c r="F1085" s="1" t="s">
        <v>414</v>
      </c>
      <c r="G1085" s="1">
        <v>100</v>
      </c>
    </row>
    <row r="1086" spans="1:7">
      <c r="A1086" s="1" t="s">
        <v>2715</v>
      </c>
      <c r="B1086" s="1" t="s">
        <v>2435</v>
      </c>
      <c r="C1086" s="1" t="s">
        <v>584</v>
      </c>
      <c r="D1086" s="1" t="s">
        <v>64</v>
      </c>
      <c r="E1086" s="1" t="s">
        <v>1065</v>
      </c>
      <c r="F1086" s="1" t="s">
        <v>584</v>
      </c>
      <c r="G1086" s="1">
        <v>100</v>
      </c>
    </row>
    <row r="1087" spans="1:7">
      <c r="A1087" s="1" t="s">
        <v>2716</v>
      </c>
      <c r="B1087" s="1" t="s">
        <v>2717</v>
      </c>
      <c r="C1087" s="1" t="s">
        <v>2718</v>
      </c>
      <c r="D1087" s="1" t="s">
        <v>70</v>
      </c>
      <c r="E1087" s="1" t="s">
        <v>2719</v>
      </c>
      <c r="F1087" s="1" t="s">
        <v>357</v>
      </c>
      <c r="G1087" s="1">
        <v>875</v>
      </c>
    </row>
    <row r="1088" spans="1:7">
      <c r="A1088" s="1" t="s">
        <v>2720</v>
      </c>
      <c r="B1088" s="1" t="s">
        <v>2721</v>
      </c>
      <c r="C1088" s="1" t="s">
        <v>339</v>
      </c>
      <c r="D1088" s="1" t="s">
        <v>340</v>
      </c>
      <c r="E1088" s="1" t="s">
        <v>830</v>
      </c>
      <c r="F1088" s="1" t="s">
        <v>342</v>
      </c>
      <c r="G1088" s="1">
        <v>650</v>
      </c>
    </row>
    <row r="1089" spans="1:7">
      <c r="A1089" s="1" t="s">
        <v>2722</v>
      </c>
      <c r="B1089" s="1" t="s">
        <v>2723</v>
      </c>
      <c r="C1089" s="1" t="s">
        <v>339</v>
      </c>
      <c r="D1089" s="1" t="s">
        <v>340</v>
      </c>
      <c r="E1089" s="1" t="s">
        <v>495</v>
      </c>
      <c r="F1089" s="1" t="s">
        <v>342</v>
      </c>
      <c r="G1089" s="1">
        <v>561</v>
      </c>
    </row>
    <row r="1090" spans="1:7">
      <c r="A1090" s="1" t="s">
        <v>2724</v>
      </c>
      <c r="B1090" s="1" t="s">
        <v>2725</v>
      </c>
      <c r="C1090" s="1" t="s">
        <v>401</v>
      </c>
      <c r="D1090" s="1" t="s">
        <v>340</v>
      </c>
      <c r="E1090" s="1" t="s">
        <v>980</v>
      </c>
      <c r="F1090" s="1" t="s">
        <v>342</v>
      </c>
      <c r="G1090" s="1">
        <v>250</v>
      </c>
    </row>
    <row r="1091" spans="1:7">
      <c r="A1091" s="1" t="s">
        <v>276</v>
      </c>
      <c r="B1091" s="1" t="s">
        <v>2726</v>
      </c>
      <c r="C1091" s="1" t="s">
        <v>339</v>
      </c>
      <c r="D1091" s="1" t="s">
        <v>340</v>
      </c>
      <c r="E1091" s="1" t="s">
        <v>384</v>
      </c>
      <c r="F1091" s="1" t="s">
        <v>342</v>
      </c>
      <c r="G1091" s="1">
        <v>100</v>
      </c>
    </row>
    <row r="1092" spans="1:7">
      <c r="A1092" s="1" t="s">
        <v>2727</v>
      </c>
      <c r="B1092" s="1" t="s">
        <v>2728</v>
      </c>
      <c r="C1092" s="1" t="s">
        <v>723</v>
      </c>
      <c r="D1092" s="1" t="s">
        <v>340</v>
      </c>
      <c r="E1092" s="1" t="s">
        <v>724</v>
      </c>
      <c r="F1092" s="1" t="s">
        <v>364</v>
      </c>
      <c r="G1092" s="1">
        <v>100</v>
      </c>
    </row>
    <row r="1093" spans="1:7">
      <c r="A1093" s="1" t="s">
        <v>2729</v>
      </c>
      <c r="B1093" s="1" t="s">
        <v>2730</v>
      </c>
      <c r="C1093" s="1" t="s">
        <v>349</v>
      </c>
      <c r="D1093" s="1" t="s">
        <v>64</v>
      </c>
      <c r="E1093" s="1" t="s">
        <v>350</v>
      </c>
      <c r="F1093" s="1" t="s">
        <v>351</v>
      </c>
      <c r="G1093" s="1">
        <v>100</v>
      </c>
    </row>
    <row r="1094" spans="1:7">
      <c r="A1094" s="1" t="s">
        <v>2731</v>
      </c>
      <c r="B1094" s="1" t="s">
        <v>2732</v>
      </c>
      <c r="C1094" s="1" t="s">
        <v>339</v>
      </c>
      <c r="D1094" s="1" t="s">
        <v>340</v>
      </c>
      <c r="E1094" s="1" t="s">
        <v>341</v>
      </c>
      <c r="F1094" s="1" t="s">
        <v>342</v>
      </c>
      <c r="G1094" s="1">
        <v>100</v>
      </c>
    </row>
    <row r="1095" spans="1:7">
      <c r="A1095" s="1" t="s">
        <v>2733</v>
      </c>
      <c r="B1095" s="1" t="s">
        <v>2734</v>
      </c>
      <c r="C1095" s="1" t="s">
        <v>339</v>
      </c>
      <c r="D1095" s="1" t="s">
        <v>340</v>
      </c>
      <c r="E1095" s="1" t="s">
        <v>454</v>
      </c>
      <c r="F1095" s="1" t="s">
        <v>342</v>
      </c>
      <c r="G1095" s="1">
        <v>250</v>
      </c>
    </row>
    <row r="1096" spans="1:7">
      <c r="A1096" s="1" t="s">
        <v>2735</v>
      </c>
      <c r="B1096" s="1" t="s">
        <v>2736</v>
      </c>
      <c r="C1096" s="1" t="s">
        <v>467</v>
      </c>
      <c r="D1096" s="1" t="s">
        <v>64</v>
      </c>
      <c r="E1096" s="1" t="s">
        <v>468</v>
      </c>
      <c r="F1096" s="1" t="s">
        <v>357</v>
      </c>
      <c r="G1096" s="1">
        <v>155</v>
      </c>
    </row>
    <row r="1097" spans="1:7">
      <c r="A1097" s="1" t="s">
        <v>2737</v>
      </c>
      <c r="B1097" s="1" t="s">
        <v>2738</v>
      </c>
      <c r="C1097" s="1" t="s">
        <v>339</v>
      </c>
      <c r="D1097" s="1" t="s">
        <v>340</v>
      </c>
      <c r="E1097" s="1" t="s">
        <v>677</v>
      </c>
      <c r="F1097" s="1" t="s">
        <v>357</v>
      </c>
      <c r="G1097" s="1">
        <v>1400</v>
      </c>
    </row>
    <row r="1098" spans="1:7">
      <c r="A1098" s="1" t="s">
        <v>2739</v>
      </c>
      <c r="B1098" s="1" t="s">
        <v>2740</v>
      </c>
      <c r="C1098" s="1" t="s">
        <v>339</v>
      </c>
      <c r="D1098" s="1" t="s">
        <v>340</v>
      </c>
      <c r="E1098" s="1" t="s">
        <v>480</v>
      </c>
      <c r="F1098" s="1" t="s">
        <v>342</v>
      </c>
      <c r="G1098" s="1">
        <v>100</v>
      </c>
    </row>
    <row r="1099" spans="1:7">
      <c r="A1099" s="1" t="s">
        <v>2741</v>
      </c>
      <c r="B1099" s="1" t="s">
        <v>2742</v>
      </c>
      <c r="C1099" s="1" t="s">
        <v>339</v>
      </c>
      <c r="D1099" s="1" t="s">
        <v>340</v>
      </c>
      <c r="E1099" s="1" t="s">
        <v>622</v>
      </c>
      <c r="F1099" s="1" t="s">
        <v>342</v>
      </c>
      <c r="G1099" s="1">
        <v>150</v>
      </c>
    </row>
    <row r="1100" spans="1:7">
      <c r="A1100" s="1" t="s">
        <v>2743</v>
      </c>
      <c r="B1100" s="1" t="s">
        <v>2744</v>
      </c>
      <c r="C1100" s="1" t="s">
        <v>2745</v>
      </c>
      <c r="D1100" s="1" t="s">
        <v>53</v>
      </c>
      <c r="E1100" s="1" t="s">
        <v>2746</v>
      </c>
      <c r="F1100" s="1" t="s">
        <v>357</v>
      </c>
      <c r="G1100" s="1">
        <v>960</v>
      </c>
    </row>
    <row r="1101" spans="1:7">
      <c r="A1101" s="1" t="s">
        <v>2747</v>
      </c>
      <c r="B1101" s="1" t="s">
        <v>2748</v>
      </c>
      <c r="C1101" s="1" t="s">
        <v>349</v>
      </c>
      <c r="D1101" s="1" t="s">
        <v>64</v>
      </c>
      <c r="E1101" s="1" t="s">
        <v>1145</v>
      </c>
      <c r="F1101" s="1" t="s">
        <v>351</v>
      </c>
      <c r="G1101" s="1">
        <v>120</v>
      </c>
    </row>
    <row r="1102" spans="1:7">
      <c r="A1102" s="1" t="s">
        <v>2749</v>
      </c>
      <c r="B1102" s="1" t="s">
        <v>1909</v>
      </c>
      <c r="C1102" s="1" t="s">
        <v>440</v>
      </c>
      <c r="D1102" s="1" t="s">
        <v>340</v>
      </c>
      <c r="E1102" s="1" t="s">
        <v>441</v>
      </c>
      <c r="F1102" s="1" t="s">
        <v>357</v>
      </c>
      <c r="G1102" s="1">
        <v>1300</v>
      </c>
    </row>
    <row r="1103" spans="1:7">
      <c r="A1103" s="1" t="s">
        <v>2750</v>
      </c>
      <c r="B1103" s="1" t="s">
        <v>2751</v>
      </c>
      <c r="C1103" s="1" t="s">
        <v>511</v>
      </c>
      <c r="D1103" s="1" t="s">
        <v>340</v>
      </c>
      <c r="E1103" s="1" t="s">
        <v>852</v>
      </c>
      <c r="F1103" s="1" t="s">
        <v>357</v>
      </c>
      <c r="G1103" s="1">
        <v>575</v>
      </c>
    </row>
    <row r="1104" spans="1:7">
      <c r="A1104" s="1" t="s">
        <v>2752</v>
      </c>
      <c r="B1104" s="1" t="s">
        <v>2753</v>
      </c>
      <c r="C1104" s="1" t="s">
        <v>511</v>
      </c>
      <c r="D1104" s="1" t="s">
        <v>340</v>
      </c>
      <c r="E1104" s="1" t="s">
        <v>852</v>
      </c>
      <c r="F1104" s="1" t="s">
        <v>513</v>
      </c>
      <c r="G1104" s="1">
        <v>400</v>
      </c>
    </row>
    <row r="1105" spans="1:7">
      <c r="A1105" s="1" t="s">
        <v>2754</v>
      </c>
      <c r="B1105" s="1" t="s">
        <v>2755</v>
      </c>
      <c r="C1105" s="1" t="s">
        <v>339</v>
      </c>
      <c r="D1105" s="1" t="s">
        <v>340</v>
      </c>
      <c r="E1105" s="1" t="s">
        <v>1011</v>
      </c>
      <c r="F1105" s="1" t="s">
        <v>342</v>
      </c>
      <c r="G1105" s="1">
        <v>1000</v>
      </c>
    </row>
    <row r="1106" spans="1:7">
      <c r="A1106" s="1" t="s">
        <v>2756</v>
      </c>
      <c r="B1106" s="1" t="s">
        <v>2757</v>
      </c>
      <c r="C1106" s="1" t="s">
        <v>339</v>
      </c>
      <c r="D1106" s="1" t="s">
        <v>340</v>
      </c>
      <c r="E1106" s="1" t="s">
        <v>613</v>
      </c>
      <c r="F1106" s="1" t="s">
        <v>357</v>
      </c>
      <c r="G1106" s="1">
        <v>800</v>
      </c>
    </row>
    <row r="1107" spans="1:7">
      <c r="A1107" s="1" t="s">
        <v>2758</v>
      </c>
      <c r="B1107" s="1" t="s">
        <v>1025</v>
      </c>
      <c r="C1107" s="1" t="s">
        <v>440</v>
      </c>
      <c r="D1107" s="1" t="s">
        <v>340</v>
      </c>
      <c r="E1107" s="1" t="s">
        <v>441</v>
      </c>
      <c r="F1107" s="1" t="s">
        <v>357</v>
      </c>
      <c r="G1107" s="1">
        <v>104</v>
      </c>
    </row>
    <row r="1108" spans="1:7">
      <c r="A1108" s="1" t="s">
        <v>2759</v>
      </c>
      <c r="B1108" s="1" t="s">
        <v>2760</v>
      </c>
      <c r="C1108" s="1" t="s">
        <v>440</v>
      </c>
      <c r="D1108" s="1" t="s">
        <v>340</v>
      </c>
      <c r="E1108" s="1" t="s">
        <v>441</v>
      </c>
      <c r="F1108" s="1" t="s">
        <v>357</v>
      </c>
      <c r="G1108" s="1">
        <v>100</v>
      </c>
    </row>
    <row r="1109" spans="1:7">
      <c r="A1109" s="1" t="s">
        <v>2761</v>
      </c>
      <c r="B1109" s="1" t="s">
        <v>2762</v>
      </c>
      <c r="C1109" s="1" t="s">
        <v>556</v>
      </c>
      <c r="D1109" s="1" t="s">
        <v>340</v>
      </c>
      <c r="E1109" s="1" t="s">
        <v>557</v>
      </c>
      <c r="F1109" s="1" t="s">
        <v>558</v>
      </c>
      <c r="G1109" s="1">
        <v>100</v>
      </c>
    </row>
    <row r="1110" spans="1:7">
      <c r="A1110" s="1" t="s">
        <v>2763</v>
      </c>
      <c r="B1110" s="1" t="s">
        <v>2764</v>
      </c>
      <c r="C1110" s="1" t="s">
        <v>440</v>
      </c>
      <c r="D1110" s="1" t="s">
        <v>340</v>
      </c>
      <c r="E1110" s="1" t="s">
        <v>441</v>
      </c>
      <c r="F1110" s="1" t="s">
        <v>357</v>
      </c>
      <c r="G1110" s="1">
        <v>1150</v>
      </c>
    </row>
    <row r="1111" spans="1:7">
      <c r="A1111" s="1" t="s">
        <v>2765</v>
      </c>
      <c r="B1111" s="1" t="s">
        <v>2766</v>
      </c>
      <c r="C1111" s="1" t="s">
        <v>460</v>
      </c>
      <c r="D1111" s="1" t="s">
        <v>340</v>
      </c>
      <c r="E1111" s="1" t="s">
        <v>461</v>
      </c>
      <c r="F1111" s="1" t="s">
        <v>342</v>
      </c>
      <c r="G1111" s="1">
        <v>100</v>
      </c>
    </row>
    <row r="1112" spans="1:7">
      <c r="A1112" s="1" t="s">
        <v>2767</v>
      </c>
      <c r="B1112" s="1" t="s">
        <v>2768</v>
      </c>
      <c r="C1112" s="1" t="s">
        <v>339</v>
      </c>
      <c r="D1112" s="1" t="s">
        <v>340</v>
      </c>
      <c r="E1112" s="1" t="s">
        <v>390</v>
      </c>
      <c r="F1112" s="1" t="s">
        <v>342</v>
      </c>
      <c r="G1112" s="1">
        <v>755</v>
      </c>
    </row>
    <row r="1113" spans="1:7">
      <c r="A1113" s="1" t="s">
        <v>2769</v>
      </c>
      <c r="B1113" s="1" t="s">
        <v>2770</v>
      </c>
      <c r="C1113" s="1" t="s">
        <v>467</v>
      </c>
      <c r="D1113" s="1" t="s">
        <v>64</v>
      </c>
      <c r="E1113" s="1" t="s">
        <v>546</v>
      </c>
      <c r="F1113" s="1" t="s">
        <v>351</v>
      </c>
      <c r="G1113" s="1">
        <v>100</v>
      </c>
    </row>
    <row r="1114" spans="1:7">
      <c r="A1114" s="1" t="s">
        <v>2771</v>
      </c>
      <c r="B1114" s="1" t="s">
        <v>2772</v>
      </c>
      <c r="C1114" s="1" t="s">
        <v>339</v>
      </c>
      <c r="D1114" s="1" t="s">
        <v>340</v>
      </c>
      <c r="E1114" s="1" t="s">
        <v>677</v>
      </c>
      <c r="F1114" s="1" t="s">
        <v>342</v>
      </c>
      <c r="G1114" s="1">
        <v>223</v>
      </c>
    </row>
    <row r="1115" spans="1:7">
      <c r="A1115" s="1" t="s">
        <v>2773</v>
      </c>
      <c r="B1115" s="1" t="s">
        <v>2774</v>
      </c>
      <c r="C1115" s="1" t="s">
        <v>339</v>
      </c>
      <c r="D1115" s="1" t="s">
        <v>340</v>
      </c>
      <c r="E1115" s="1" t="s">
        <v>341</v>
      </c>
      <c r="F1115" s="1" t="s">
        <v>342</v>
      </c>
      <c r="G1115" s="1">
        <v>200</v>
      </c>
    </row>
    <row r="1116" spans="1:7">
      <c r="A1116" s="1" t="s">
        <v>2775</v>
      </c>
      <c r="B1116" s="1" t="s">
        <v>2776</v>
      </c>
      <c r="C1116" s="1" t="s">
        <v>339</v>
      </c>
      <c r="D1116" s="1" t="s">
        <v>340</v>
      </c>
      <c r="E1116" s="1" t="s">
        <v>480</v>
      </c>
      <c r="F1116" s="1" t="s">
        <v>342</v>
      </c>
      <c r="G1116" s="1">
        <v>200</v>
      </c>
    </row>
    <row r="1117" spans="1:7">
      <c r="A1117" s="1" t="s">
        <v>2777</v>
      </c>
      <c r="B1117" s="1" t="s">
        <v>2778</v>
      </c>
      <c r="C1117" s="1" t="s">
        <v>339</v>
      </c>
      <c r="D1117" s="1" t="s">
        <v>340</v>
      </c>
      <c r="E1117" s="1" t="s">
        <v>622</v>
      </c>
      <c r="F1117" s="1" t="s">
        <v>342</v>
      </c>
      <c r="G1117" s="1">
        <v>100</v>
      </c>
    </row>
    <row r="1118" spans="1:7">
      <c r="A1118" s="1" t="s">
        <v>2779</v>
      </c>
      <c r="B1118" s="1" t="s">
        <v>2780</v>
      </c>
      <c r="C1118" s="1" t="s">
        <v>339</v>
      </c>
      <c r="D1118" s="1" t="s">
        <v>340</v>
      </c>
      <c r="E1118" s="1" t="s">
        <v>577</v>
      </c>
      <c r="F1118" s="1" t="s">
        <v>342</v>
      </c>
      <c r="G1118" s="1">
        <v>116</v>
      </c>
    </row>
    <row r="1119" spans="1:7">
      <c r="A1119" s="1" t="s">
        <v>2781</v>
      </c>
      <c r="B1119" s="1" t="s">
        <v>2782</v>
      </c>
      <c r="C1119" s="1" t="s">
        <v>339</v>
      </c>
      <c r="D1119" s="1" t="s">
        <v>340</v>
      </c>
      <c r="E1119" s="1" t="s">
        <v>508</v>
      </c>
      <c r="F1119" s="1" t="s">
        <v>342</v>
      </c>
      <c r="G1119" s="1">
        <v>100</v>
      </c>
    </row>
    <row r="1120" spans="1:7">
      <c r="A1120" s="1" t="s">
        <v>277</v>
      </c>
      <c r="B1120" s="1" t="s">
        <v>1548</v>
      </c>
      <c r="C1120" s="1" t="s">
        <v>625</v>
      </c>
      <c r="D1120" s="1" t="s">
        <v>340</v>
      </c>
      <c r="E1120" s="1" t="s">
        <v>709</v>
      </c>
      <c r="F1120" s="1" t="s">
        <v>419</v>
      </c>
      <c r="G1120" s="1">
        <v>119</v>
      </c>
    </row>
    <row r="1121" spans="1:7">
      <c r="A1121" s="1" t="s">
        <v>2783</v>
      </c>
      <c r="B1121" s="1" t="s">
        <v>2690</v>
      </c>
      <c r="C1121" s="1" t="s">
        <v>511</v>
      </c>
      <c r="D1121" s="1" t="s">
        <v>340</v>
      </c>
      <c r="E1121" s="1" t="s">
        <v>852</v>
      </c>
      <c r="F1121" s="1" t="s">
        <v>513</v>
      </c>
      <c r="G1121" s="1">
        <v>104</v>
      </c>
    </row>
    <row r="1122" spans="1:7">
      <c r="A1122" s="1" t="s">
        <v>2784</v>
      </c>
      <c r="B1122" s="1" t="s">
        <v>2785</v>
      </c>
      <c r="C1122" s="1" t="s">
        <v>440</v>
      </c>
      <c r="D1122" s="1" t="s">
        <v>340</v>
      </c>
      <c r="E1122" s="1" t="s">
        <v>441</v>
      </c>
      <c r="F1122" s="1" t="s">
        <v>558</v>
      </c>
      <c r="G1122" s="1">
        <v>400</v>
      </c>
    </row>
    <row r="1123" spans="1:7">
      <c r="A1123" s="1" t="s">
        <v>2786</v>
      </c>
      <c r="B1123" s="1" t="s">
        <v>2787</v>
      </c>
      <c r="C1123" s="1" t="s">
        <v>339</v>
      </c>
      <c r="D1123" s="1" t="s">
        <v>340</v>
      </c>
      <c r="E1123" s="1" t="s">
        <v>521</v>
      </c>
      <c r="F1123" s="1" t="s">
        <v>342</v>
      </c>
      <c r="G1123" s="1">
        <v>750</v>
      </c>
    </row>
    <row r="1124" spans="1:7">
      <c r="A1124" s="1" t="s">
        <v>2788</v>
      </c>
      <c r="B1124" s="1" t="s">
        <v>2789</v>
      </c>
      <c r="C1124" s="1" t="s">
        <v>775</v>
      </c>
      <c r="D1124" s="1" t="s">
        <v>64</v>
      </c>
      <c r="E1124" s="1" t="s">
        <v>1527</v>
      </c>
      <c r="F1124" s="1" t="s">
        <v>775</v>
      </c>
      <c r="G1124" s="1">
        <v>100</v>
      </c>
    </row>
    <row r="1125" spans="1:7">
      <c r="A1125" s="1" t="s">
        <v>2790</v>
      </c>
      <c r="B1125" s="1" t="s">
        <v>2791</v>
      </c>
      <c r="C1125" s="1" t="s">
        <v>339</v>
      </c>
      <c r="D1125" s="1" t="s">
        <v>340</v>
      </c>
      <c r="E1125" s="1" t="s">
        <v>457</v>
      </c>
      <c r="F1125" s="1" t="s">
        <v>357</v>
      </c>
      <c r="G1125" s="1">
        <v>900</v>
      </c>
    </row>
    <row r="1126" spans="1:7">
      <c r="A1126" s="1" t="s">
        <v>2792</v>
      </c>
      <c r="B1126" s="1" t="s">
        <v>2793</v>
      </c>
      <c r="C1126" s="1" t="s">
        <v>345</v>
      </c>
      <c r="D1126" s="1" t="s">
        <v>340</v>
      </c>
      <c r="E1126" s="1" t="s">
        <v>567</v>
      </c>
      <c r="F1126" s="1" t="s">
        <v>347</v>
      </c>
      <c r="G1126" s="1">
        <v>100</v>
      </c>
    </row>
    <row r="1127" spans="1:7">
      <c r="A1127" s="1" t="s">
        <v>2794</v>
      </c>
      <c r="B1127" s="1" t="s">
        <v>889</v>
      </c>
      <c r="C1127" s="1" t="s">
        <v>339</v>
      </c>
      <c r="D1127" s="1" t="s">
        <v>340</v>
      </c>
      <c r="E1127" s="1" t="s">
        <v>480</v>
      </c>
      <c r="F1127" s="1" t="s">
        <v>357</v>
      </c>
      <c r="G1127" s="1">
        <v>303</v>
      </c>
    </row>
    <row r="1128" spans="1:7">
      <c r="A1128" s="1" t="s">
        <v>2795</v>
      </c>
      <c r="B1128" s="1" t="s">
        <v>2796</v>
      </c>
      <c r="C1128" s="1" t="s">
        <v>2797</v>
      </c>
      <c r="D1128" s="1" t="s">
        <v>64</v>
      </c>
      <c r="E1128" s="1" t="s">
        <v>2798</v>
      </c>
      <c r="F1128" s="1" t="s">
        <v>357</v>
      </c>
      <c r="G1128" s="1">
        <v>3575</v>
      </c>
    </row>
    <row r="1129" spans="1:7">
      <c r="A1129" s="1" t="s">
        <v>2799</v>
      </c>
      <c r="B1129" s="1" t="s">
        <v>2800</v>
      </c>
      <c r="C1129" s="1" t="s">
        <v>379</v>
      </c>
      <c r="D1129" s="1" t="s">
        <v>340</v>
      </c>
      <c r="E1129" s="1" t="s">
        <v>1138</v>
      </c>
      <c r="F1129" s="1" t="s">
        <v>381</v>
      </c>
      <c r="G1129" s="1">
        <v>100</v>
      </c>
    </row>
    <row r="1130" spans="1:7">
      <c r="A1130" s="1" t="s">
        <v>2801</v>
      </c>
      <c r="B1130" s="1" t="s">
        <v>2802</v>
      </c>
      <c r="C1130" s="1" t="s">
        <v>2011</v>
      </c>
      <c r="D1130" s="1" t="s">
        <v>340</v>
      </c>
      <c r="E1130" s="1" t="s">
        <v>2012</v>
      </c>
      <c r="F1130" s="1" t="s">
        <v>526</v>
      </c>
      <c r="G1130" s="1">
        <v>185</v>
      </c>
    </row>
    <row r="1131" spans="1:7">
      <c r="A1131" s="1" t="s">
        <v>2803</v>
      </c>
      <c r="B1131" s="1" t="s">
        <v>2804</v>
      </c>
      <c r="C1131" s="1" t="s">
        <v>625</v>
      </c>
      <c r="D1131" s="1" t="s">
        <v>340</v>
      </c>
      <c r="E1131" s="1" t="s">
        <v>1177</v>
      </c>
      <c r="F1131" s="1" t="s">
        <v>419</v>
      </c>
      <c r="G1131" s="1">
        <v>130</v>
      </c>
    </row>
    <row r="1132" spans="1:7">
      <c r="A1132" s="1" t="s">
        <v>2805</v>
      </c>
      <c r="B1132" s="1" t="s">
        <v>2806</v>
      </c>
      <c r="C1132" s="1" t="s">
        <v>339</v>
      </c>
      <c r="D1132" s="1" t="s">
        <v>340</v>
      </c>
      <c r="E1132" s="1" t="s">
        <v>629</v>
      </c>
      <c r="F1132" s="1" t="s">
        <v>342</v>
      </c>
      <c r="G1132" s="1">
        <v>115</v>
      </c>
    </row>
    <row r="1133" spans="1:7">
      <c r="A1133" s="1" t="s">
        <v>2807</v>
      </c>
      <c r="B1133" s="1" t="s">
        <v>2808</v>
      </c>
      <c r="C1133" s="1" t="s">
        <v>339</v>
      </c>
      <c r="D1133" s="1" t="s">
        <v>340</v>
      </c>
      <c r="E1133" s="1" t="s">
        <v>830</v>
      </c>
      <c r="F1133" s="1" t="s">
        <v>342</v>
      </c>
      <c r="G1133" s="1">
        <v>350</v>
      </c>
    </row>
    <row r="1134" spans="1:7">
      <c r="A1134" s="1" t="s">
        <v>2809</v>
      </c>
      <c r="B1134" s="1" t="s">
        <v>2810</v>
      </c>
      <c r="C1134" s="1" t="s">
        <v>349</v>
      </c>
      <c r="D1134" s="1" t="s">
        <v>64</v>
      </c>
      <c r="E1134" s="1" t="s">
        <v>1145</v>
      </c>
      <c r="F1134" s="1" t="s">
        <v>351</v>
      </c>
      <c r="G1134" s="1">
        <v>100</v>
      </c>
    </row>
    <row r="1135" spans="1:7">
      <c r="A1135" s="1" t="s">
        <v>278</v>
      </c>
      <c r="B1135" s="1" t="s">
        <v>2811</v>
      </c>
      <c r="C1135" s="1" t="s">
        <v>425</v>
      </c>
      <c r="D1135" s="1" t="s">
        <v>340</v>
      </c>
      <c r="E1135" s="1" t="s">
        <v>426</v>
      </c>
      <c r="F1135" s="1" t="s">
        <v>427</v>
      </c>
      <c r="G1135" s="1">
        <v>151</v>
      </c>
    </row>
    <row r="1136" spans="1:7">
      <c r="A1136" s="1" t="s">
        <v>2812</v>
      </c>
      <c r="B1136" s="1" t="s">
        <v>1133</v>
      </c>
      <c r="C1136" s="1" t="s">
        <v>833</v>
      </c>
      <c r="D1136" s="1" t="s">
        <v>340</v>
      </c>
      <c r="E1136" s="1">
        <v>28075</v>
      </c>
      <c r="F1136" s="1" t="s">
        <v>513</v>
      </c>
      <c r="G1136" s="1">
        <v>100</v>
      </c>
    </row>
    <row r="1137" spans="1:7">
      <c r="A1137" s="1" t="s">
        <v>2813</v>
      </c>
      <c r="B1137" s="1" t="s">
        <v>2814</v>
      </c>
      <c r="C1137" s="1" t="s">
        <v>339</v>
      </c>
      <c r="D1137" s="1" t="s">
        <v>340</v>
      </c>
      <c r="E1137" s="1" t="s">
        <v>480</v>
      </c>
      <c r="F1137" s="1" t="s">
        <v>342</v>
      </c>
      <c r="G1137" s="1">
        <v>100</v>
      </c>
    </row>
    <row r="1138" spans="1:7">
      <c r="A1138" s="1" t="s">
        <v>2815</v>
      </c>
      <c r="B1138" s="1" t="s">
        <v>2816</v>
      </c>
      <c r="C1138" s="1" t="s">
        <v>339</v>
      </c>
      <c r="D1138" s="1" t="s">
        <v>340</v>
      </c>
      <c r="E1138" s="1" t="s">
        <v>1731</v>
      </c>
      <c r="F1138" s="1" t="s">
        <v>342</v>
      </c>
      <c r="G1138" s="1">
        <v>110</v>
      </c>
    </row>
    <row r="1139" spans="1:7">
      <c r="A1139" s="1" t="s">
        <v>2817</v>
      </c>
      <c r="B1139" s="1" t="s">
        <v>2818</v>
      </c>
      <c r="C1139" s="1" t="s">
        <v>723</v>
      </c>
      <c r="D1139" s="1" t="s">
        <v>340</v>
      </c>
      <c r="E1139" s="1" t="s">
        <v>724</v>
      </c>
      <c r="F1139" s="1" t="s">
        <v>364</v>
      </c>
      <c r="G1139" s="1">
        <v>135</v>
      </c>
    </row>
    <row r="1140" spans="1:7">
      <c r="A1140" s="1" t="s">
        <v>2819</v>
      </c>
      <c r="B1140" s="1" t="s">
        <v>2820</v>
      </c>
      <c r="C1140" s="1" t="s">
        <v>2011</v>
      </c>
      <c r="D1140" s="1" t="s">
        <v>340</v>
      </c>
      <c r="E1140" s="1" t="s">
        <v>2012</v>
      </c>
      <c r="F1140" s="1" t="s">
        <v>526</v>
      </c>
      <c r="G1140" s="1">
        <v>100</v>
      </c>
    </row>
    <row r="1141" spans="1:7">
      <c r="A1141" s="1" t="s">
        <v>2821</v>
      </c>
      <c r="B1141" s="1" t="s">
        <v>2822</v>
      </c>
      <c r="C1141" s="1" t="s">
        <v>556</v>
      </c>
      <c r="D1141" s="1" t="s">
        <v>340</v>
      </c>
      <c r="E1141" s="1" t="s">
        <v>557</v>
      </c>
      <c r="F1141" s="1" t="s">
        <v>558</v>
      </c>
      <c r="G1141" s="1">
        <v>300</v>
      </c>
    </row>
    <row r="1142" spans="1:7">
      <c r="A1142" s="1" t="s">
        <v>279</v>
      </c>
      <c r="B1142" s="1" t="s">
        <v>2823</v>
      </c>
      <c r="C1142" s="1" t="s">
        <v>339</v>
      </c>
      <c r="D1142" s="1" t="s">
        <v>340</v>
      </c>
      <c r="E1142" s="1" t="s">
        <v>480</v>
      </c>
      <c r="F1142" s="1" t="s">
        <v>342</v>
      </c>
      <c r="G1142" s="1">
        <v>150</v>
      </c>
    </row>
    <row r="1143" spans="1:7">
      <c r="A1143" s="1" t="s">
        <v>2824</v>
      </c>
      <c r="B1143" s="1" t="s">
        <v>2825</v>
      </c>
      <c r="C1143" s="1" t="s">
        <v>339</v>
      </c>
      <c r="D1143" s="1" t="s">
        <v>340</v>
      </c>
      <c r="E1143" s="1" t="s">
        <v>454</v>
      </c>
      <c r="F1143" s="1" t="s">
        <v>342</v>
      </c>
      <c r="G1143" s="1">
        <v>220</v>
      </c>
    </row>
    <row r="1144" spans="1:7">
      <c r="A1144" s="1" t="s">
        <v>2826</v>
      </c>
      <c r="B1144" s="1" t="s">
        <v>2827</v>
      </c>
      <c r="C1144" s="1" t="s">
        <v>440</v>
      </c>
      <c r="D1144" s="1" t="s">
        <v>340</v>
      </c>
      <c r="E1144" s="1" t="s">
        <v>441</v>
      </c>
      <c r="F1144" s="1" t="s">
        <v>357</v>
      </c>
      <c r="G1144" s="1">
        <v>275</v>
      </c>
    </row>
    <row r="1145" spans="1:7">
      <c r="A1145" s="1" t="s">
        <v>2828</v>
      </c>
      <c r="B1145" s="1" t="s">
        <v>2829</v>
      </c>
      <c r="C1145" s="1" t="s">
        <v>345</v>
      </c>
      <c r="D1145" s="1" t="s">
        <v>340</v>
      </c>
      <c r="E1145" s="1" t="s">
        <v>346</v>
      </c>
      <c r="F1145" s="1" t="s">
        <v>347</v>
      </c>
      <c r="G1145" s="1">
        <v>176</v>
      </c>
    </row>
    <row r="1146" spans="1:7">
      <c r="A1146" s="1" t="s">
        <v>280</v>
      </c>
      <c r="B1146" s="1" t="s">
        <v>2830</v>
      </c>
      <c r="C1146" s="1" t="s">
        <v>625</v>
      </c>
      <c r="D1146" s="1" t="s">
        <v>340</v>
      </c>
      <c r="E1146" s="1">
        <v>28151</v>
      </c>
      <c r="F1146" s="1" t="s">
        <v>419</v>
      </c>
      <c r="G1146" s="1">
        <v>120</v>
      </c>
    </row>
    <row r="1147" spans="1:7">
      <c r="A1147" s="1" t="s">
        <v>2831</v>
      </c>
      <c r="B1147" s="1" t="s">
        <v>2832</v>
      </c>
      <c r="C1147" s="1" t="s">
        <v>397</v>
      </c>
      <c r="D1147" s="1" t="s">
        <v>340</v>
      </c>
      <c r="E1147" s="1" t="s">
        <v>398</v>
      </c>
      <c r="F1147" s="1" t="s">
        <v>342</v>
      </c>
      <c r="G1147" s="1">
        <v>100</v>
      </c>
    </row>
    <row r="1148" spans="1:7">
      <c r="A1148" s="1" t="s">
        <v>2833</v>
      </c>
      <c r="B1148" s="1" t="s">
        <v>2553</v>
      </c>
      <c r="C1148" s="1" t="s">
        <v>824</v>
      </c>
      <c r="D1148" s="1" t="s">
        <v>340</v>
      </c>
      <c r="E1148" s="1" t="s">
        <v>825</v>
      </c>
      <c r="F1148" s="1" t="s">
        <v>419</v>
      </c>
      <c r="G1148" s="1">
        <v>150</v>
      </c>
    </row>
    <row r="1149" spans="1:7">
      <c r="A1149" s="1" t="s">
        <v>2834</v>
      </c>
      <c r="B1149" s="1" t="s">
        <v>2835</v>
      </c>
      <c r="C1149" s="1" t="s">
        <v>833</v>
      </c>
      <c r="D1149" s="1" t="s">
        <v>340</v>
      </c>
      <c r="E1149" s="1" t="s">
        <v>834</v>
      </c>
      <c r="F1149" s="1" t="s">
        <v>513</v>
      </c>
      <c r="G1149" s="1">
        <v>300</v>
      </c>
    </row>
    <row r="1150" spans="1:7">
      <c r="A1150" s="1" t="s">
        <v>2836</v>
      </c>
      <c r="B1150" s="1" t="s">
        <v>1238</v>
      </c>
      <c r="C1150" s="1" t="s">
        <v>397</v>
      </c>
      <c r="D1150" s="1" t="s">
        <v>340</v>
      </c>
      <c r="E1150" s="1" t="s">
        <v>398</v>
      </c>
      <c r="F1150" s="1" t="s">
        <v>357</v>
      </c>
      <c r="G1150" s="1">
        <v>250</v>
      </c>
    </row>
    <row r="1151" spans="1:7">
      <c r="A1151" s="1" t="s">
        <v>2837</v>
      </c>
      <c r="B1151" s="1" t="s">
        <v>2838</v>
      </c>
      <c r="C1151" s="1" t="s">
        <v>339</v>
      </c>
      <c r="D1151" s="1" t="s">
        <v>340</v>
      </c>
      <c r="E1151" s="1" t="s">
        <v>454</v>
      </c>
      <c r="F1151" s="1" t="s">
        <v>342</v>
      </c>
      <c r="G1151" s="1">
        <v>700</v>
      </c>
    </row>
    <row r="1152" spans="1:7">
      <c r="A1152" s="1" t="s">
        <v>2839</v>
      </c>
      <c r="B1152" s="1" t="s">
        <v>2840</v>
      </c>
      <c r="C1152" s="1" t="s">
        <v>467</v>
      </c>
      <c r="D1152" s="1" t="s">
        <v>64</v>
      </c>
      <c r="E1152" s="1" t="s">
        <v>468</v>
      </c>
      <c r="F1152" s="1" t="s">
        <v>351</v>
      </c>
      <c r="G1152" s="1">
        <v>150</v>
      </c>
    </row>
    <row r="1153" spans="1:7">
      <c r="A1153" s="1" t="s">
        <v>2841</v>
      </c>
      <c r="B1153" s="1" t="s">
        <v>2010</v>
      </c>
      <c r="C1153" s="1" t="s">
        <v>467</v>
      </c>
      <c r="D1153" s="1" t="s">
        <v>64</v>
      </c>
      <c r="E1153" s="1" t="s">
        <v>483</v>
      </c>
      <c r="F1153" s="1" t="s">
        <v>357</v>
      </c>
      <c r="G1153" s="1">
        <v>1535</v>
      </c>
    </row>
    <row r="1154" spans="1:7">
      <c r="A1154" s="1" t="s">
        <v>2842</v>
      </c>
      <c r="B1154" s="1" t="s">
        <v>2843</v>
      </c>
      <c r="C1154" s="1" t="s">
        <v>775</v>
      </c>
      <c r="D1154" s="1" t="s">
        <v>64</v>
      </c>
      <c r="E1154" s="1" t="s">
        <v>1527</v>
      </c>
      <c r="F1154" s="1" t="s">
        <v>775</v>
      </c>
      <c r="G1154" s="1">
        <v>600</v>
      </c>
    </row>
    <row r="1155" spans="1:7">
      <c r="A1155" s="1" t="s">
        <v>2844</v>
      </c>
      <c r="B1155" s="1" t="s">
        <v>2845</v>
      </c>
      <c r="C1155" s="1" t="s">
        <v>339</v>
      </c>
      <c r="D1155" s="1" t="s">
        <v>340</v>
      </c>
      <c r="E1155" s="1" t="s">
        <v>480</v>
      </c>
      <c r="F1155" s="1" t="s">
        <v>342</v>
      </c>
      <c r="G1155" s="1">
        <v>1200</v>
      </c>
    </row>
    <row r="1156" spans="1:7">
      <c r="A1156" s="1" t="s">
        <v>2846</v>
      </c>
      <c r="B1156" s="1" t="s">
        <v>2847</v>
      </c>
      <c r="C1156" s="1" t="s">
        <v>339</v>
      </c>
      <c r="D1156" s="1" t="s">
        <v>340</v>
      </c>
      <c r="E1156" s="1" t="s">
        <v>622</v>
      </c>
      <c r="F1156" s="1" t="s">
        <v>357</v>
      </c>
      <c r="G1156" s="1">
        <v>128</v>
      </c>
    </row>
    <row r="1157" spans="1:7">
      <c r="A1157" s="1" t="s">
        <v>2848</v>
      </c>
      <c r="B1157" s="1" t="s">
        <v>2849</v>
      </c>
      <c r="C1157" s="1" t="s">
        <v>436</v>
      </c>
      <c r="D1157" s="1" t="s">
        <v>340</v>
      </c>
      <c r="E1157" s="1" t="s">
        <v>437</v>
      </c>
      <c r="F1157" s="1" t="s">
        <v>565</v>
      </c>
      <c r="G1157" s="1">
        <v>100</v>
      </c>
    </row>
    <row r="1158" spans="1:7">
      <c r="A1158" s="1" t="s">
        <v>281</v>
      </c>
      <c r="B1158" s="1" t="s">
        <v>2850</v>
      </c>
      <c r="C1158" s="1" t="s">
        <v>339</v>
      </c>
      <c r="D1158" s="1" t="s">
        <v>340</v>
      </c>
      <c r="E1158" s="1" t="s">
        <v>622</v>
      </c>
      <c r="F1158" s="1" t="s">
        <v>342</v>
      </c>
      <c r="G1158" s="1">
        <v>350</v>
      </c>
    </row>
    <row r="1159" spans="1:7">
      <c r="A1159" s="1" t="s">
        <v>2851</v>
      </c>
      <c r="B1159" s="1" t="s">
        <v>2852</v>
      </c>
      <c r="C1159" s="1" t="s">
        <v>339</v>
      </c>
      <c r="D1159" s="1" t="s">
        <v>340</v>
      </c>
      <c r="E1159" s="1" t="s">
        <v>870</v>
      </c>
      <c r="F1159" s="1" t="s">
        <v>342</v>
      </c>
      <c r="G1159" s="1">
        <v>415</v>
      </c>
    </row>
    <row r="1160" spans="1:7">
      <c r="A1160" s="1" t="s">
        <v>282</v>
      </c>
      <c r="B1160" s="1" t="s">
        <v>2342</v>
      </c>
      <c r="C1160" s="1" t="s">
        <v>440</v>
      </c>
      <c r="D1160" s="1" t="s">
        <v>340</v>
      </c>
      <c r="E1160" s="1" t="s">
        <v>441</v>
      </c>
      <c r="F1160" s="1" t="s">
        <v>558</v>
      </c>
      <c r="G1160" s="1">
        <v>200</v>
      </c>
    </row>
    <row r="1161" spans="1:7">
      <c r="A1161" s="1" t="s">
        <v>283</v>
      </c>
      <c r="B1161" s="1" t="s">
        <v>2853</v>
      </c>
      <c r="C1161" s="1" t="s">
        <v>345</v>
      </c>
      <c r="D1161" s="1" t="s">
        <v>340</v>
      </c>
      <c r="E1161" s="1" t="s">
        <v>422</v>
      </c>
      <c r="F1161" s="1" t="s">
        <v>347</v>
      </c>
      <c r="G1161" s="1">
        <v>450</v>
      </c>
    </row>
    <row r="1162" spans="1:7">
      <c r="A1162" s="1" t="s">
        <v>2854</v>
      </c>
      <c r="B1162" s="1" t="s">
        <v>2855</v>
      </c>
      <c r="C1162" s="1" t="s">
        <v>351</v>
      </c>
      <c r="D1162" s="1" t="s">
        <v>64</v>
      </c>
      <c r="E1162" s="1" t="s">
        <v>490</v>
      </c>
      <c r="F1162" s="1" t="s">
        <v>351</v>
      </c>
      <c r="G1162" s="1">
        <v>500</v>
      </c>
    </row>
    <row r="1163" spans="1:7">
      <c r="A1163" s="1" t="s">
        <v>2856</v>
      </c>
      <c r="B1163" s="1" t="s">
        <v>2857</v>
      </c>
      <c r="C1163" s="1" t="s">
        <v>412</v>
      </c>
      <c r="D1163" s="1" t="s">
        <v>340</v>
      </c>
      <c r="E1163" s="1" t="s">
        <v>413</v>
      </c>
      <c r="F1163" s="1" t="s">
        <v>414</v>
      </c>
      <c r="G1163" s="1">
        <v>135</v>
      </c>
    </row>
    <row r="1164" spans="1:7">
      <c r="A1164" s="1" t="s">
        <v>2858</v>
      </c>
      <c r="B1164" s="1" t="s">
        <v>1139</v>
      </c>
      <c r="C1164" s="1" t="s">
        <v>1017</v>
      </c>
      <c r="D1164" s="1" t="s">
        <v>340</v>
      </c>
      <c r="E1164" s="1" t="s">
        <v>1018</v>
      </c>
      <c r="F1164" s="1" t="s">
        <v>558</v>
      </c>
      <c r="G1164" s="1">
        <v>120</v>
      </c>
    </row>
    <row r="1165" spans="1:7">
      <c r="A1165" s="1" t="s">
        <v>2859</v>
      </c>
      <c r="B1165" s="1" t="s">
        <v>2860</v>
      </c>
      <c r="C1165" s="1" t="s">
        <v>747</v>
      </c>
      <c r="D1165" s="1" t="s">
        <v>340</v>
      </c>
      <c r="E1165" s="1" t="s">
        <v>748</v>
      </c>
      <c r="F1165" s="1" t="s">
        <v>347</v>
      </c>
      <c r="G1165" s="1">
        <v>155</v>
      </c>
    </row>
    <row r="1166" spans="1:7">
      <c r="A1166" s="1" t="s">
        <v>2861</v>
      </c>
      <c r="B1166" s="1" t="s">
        <v>2862</v>
      </c>
      <c r="C1166" s="1" t="s">
        <v>511</v>
      </c>
      <c r="D1166" s="1" t="s">
        <v>340</v>
      </c>
      <c r="E1166" s="1" t="s">
        <v>536</v>
      </c>
      <c r="F1166" s="1" t="s">
        <v>513</v>
      </c>
      <c r="G1166" s="1">
        <v>250</v>
      </c>
    </row>
    <row r="1167" spans="1:7">
      <c r="A1167" s="1" t="s">
        <v>2861</v>
      </c>
      <c r="B1167" s="1" t="s">
        <v>2863</v>
      </c>
      <c r="C1167" s="1" t="s">
        <v>918</v>
      </c>
      <c r="D1167" s="1" t="s">
        <v>64</v>
      </c>
      <c r="E1167" s="1" t="s">
        <v>919</v>
      </c>
      <c r="F1167" s="1" t="s">
        <v>533</v>
      </c>
      <c r="G1167" s="1">
        <v>270</v>
      </c>
    </row>
    <row r="1168" spans="1:7">
      <c r="A1168" s="1" t="s">
        <v>2864</v>
      </c>
      <c r="B1168" s="1" t="s">
        <v>2865</v>
      </c>
      <c r="C1168" s="1" t="s">
        <v>425</v>
      </c>
      <c r="D1168" s="1" t="s">
        <v>340</v>
      </c>
      <c r="E1168" s="1" t="s">
        <v>1290</v>
      </c>
      <c r="F1168" s="1" t="s">
        <v>427</v>
      </c>
      <c r="G1168" s="1">
        <v>165</v>
      </c>
    </row>
    <row r="1169" spans="1:7">
      <c r="A1169" s="1" t="s">
        <v>2866</v>
      </c>
      <c r="B1169" s="1" t="s">
        <v>2867</v>
      </c>
      <c r="C1169" s="1" t="s">
        <v>425</v>
      </c>
      <c r="D1169" s="1" t="s">
        <v>340</v>
      </c>
      <c r="E1169" s="1" t="s">
        <v>1290</v>
      </c>
      <c r="F1169" s="1" t="s">
        <v>427</v>
      </c>
      <c r="G1169" s="1">
        <v>297</v>
      </c>
    </row>
    <row r="1170" spans="1:7">
      <c r="A1170" s="1" t="s">
        <v>2868</v>
      </c>
      <c r="B1170" s="1" t="s">
        <v>2869</v>
      </c>
      <c r="C1170" s="1" t="s">
        <v>425</v>
      </c>
      <c r="D1170" s="1" t="s">
        <v>340</v>
      </c>
      <c r="E1170" s="1" t="s">
        <v>1290</v>
      </c>
      <c r="F1170" s="1" t="s">
        <v>427</v>
      </c>
      <c r="G1170" s="1">
        <v>1430</v>
      </c>
    </row>
    <row r="1171" spans="1:7">
      <c r="A1171" s="1" t="s">
        <v>2870</v>
      </c>
      <c r="B1171" s="1" t="s">
        <v>2871</v>
      </c>
      <c r="C1171" s="1" t="s">
        <v>2179</v>
      </c>
      <c r="D1171" s="1" t="s">
        <v>340</v>
      </c>
      <c r="E1171" s="1" t="s">
        <v>2180</v>
      </c>
      <c r="F1171" s="1" t="s">
        <v>427</v>
      </c>
      <c r="G1171" s="1">
        <v>100</v>
      </c>
    </row>
    <row r="1172" spans="1:7">
      <c r="A1172" s="1" t="s">
        <v>2872</v>
      </c>
      <c r="B1172" s="1" t="s">
        <v>2873</v>
      </c>
      <c r="C1172" s="1" t="s">
        <v>425</v>
      </c>
      <c r="D1172" s="1" t="s">
        <v>340</v>
      </c>
      <c r="E1172" s="1" t="s">
        <v>1290</v>
      </c>
      <c r="F1172" s="1" t="s">
        <v>427</v>
      </c>
      <c r="G1172" s="1">
        <v>130</v>
      </c>
    </row>
    <row r="1173" spans="1:7">
      <c r="A1173" s="1" t="s">
        <v>2874</v>
      </c>
      <c r="B1173" s="1" t="s">
        <v>2875</v>
      </c>
      <c r="C1173" s="1" t="s">
        <v>425</v>
      </c>
      <c r="D1173" s="1" t="s">
        <v>340</v>
      </c>
      <c r="E1173" s="1" t="s">
        <v>426</v>
      </c>
      <c r="F1173" s="1" t="s">
        <v>427</v>
      </c>
      <c r="G1173" s="1">
        <v>800</v>
      </c>
    </row>
    <row r="1174" spans="1:7">
      <c r="A1174" s="1" t="s">
        <v>2876</v>
      </c>
      <c r="B1174" s="1" t="s">
        <v>2877</v>
      </c>
      <c r="C1174" s="1" t="s">
        <v>511</v>
      </c>
      <c r="D1174" s="1" t="s">
        <v>340</v>
      </c>
      <c r="E1174" s="1" t="s">
        <v>852</v>
      </c>
      <c r="F1174" s="1" t="s">
        <v>513</v>
      </c>
      <c r="G1174" s="1">
        <v>160</v>
      </c>
    </row>
    <row r="1175" spans="1:7">
      <c r="A1175" s="1" t="s">
        <v>2878</v>
      </c>
      <c r="B1175" s="1" t="s">
        <v>2879</v>
      </c>
      <c r="C1175" s="1" t="s">
        <v>339</v>
      </c>
      <c r="D1175" s="1" t="s">
        <v>340</v>
      </c>
      <c r="E1175" s="1" t="s">
        <v>677</v>
      </c>
      <c r="F1175" s="1" t="s">
        <v>357</v>
      </c>
      <c r="G1175" s="1">
        <v>1260</v>
      </c>
    </row>
    <row r="1176" spans="1:7">
      <c r="A1176" s="1" t="s">
        <v>2880</v>
      </c>
      <c r="B1176" s="1" t="s">
        <v>2881</v>
      </c>
      <c r="C1176" s="1" t="s">
        <v>339</v>
      </c>
      <c r="D1176" s="1" t="s">
        <v>340</v>
      </c>
      <c r="E1176" s="1" t="s">
        <v>830</v>
      </c>
      <c r="F1176" s="1" t="s">
        <v>342</v>
      </c>
      <c r="G1176" s="1">
        <v>100</v>
      </c>
    </row>
    <row r="1177" spans="1:7">
      <c r="A1177" s="1" t="s">
        <v>2882</v>
      </c>
      <c r="B1177" s="1" t="s">
        <v>2883</v>
      </c>
      <c r="C1177" s="1" t="s">
        <v>339</v>
      </c>
      <c r="D1177" s="1" t="s">
        <v>340</v>
      </c>
      <c r="E1177" s="1" t="s">
        <v>1700</v>
      </c>
      <c r="F1177" s="1" t="s">
        <v>342</v>
      </c>
      <c r="G1177" s="1">
        <v>387</v>
      </c>
    </row>
    <row r="1178" spans="1:7">
      <c r="A1178" s="1" t="s">
        <v>2884</v>
      </c>
      <c r="B1178" s="1" t="s">
        <v>2885</v>
      </c>
      <c r="C1178" s="1" t="s">
        <v>339</v>
      </c>
      <c r="D1178" s="1" t="s">
        <v>340</v>
      </c>
      <c r="E1178" s="1" t="s">
        <v>622</v>
      </c>
      <c r="F1178" s="1" t="s">
        <v>342</v>
      </c>
      <c r="G1178" s="1">
        <v>100</v>
      </c>
    </row>
    <row r="1179" spans="1:7">
      <c r="A1179" s="1" t="s">
        <v>2886</v>
      </c>
      <c r="B1179" s="1" t="s">
        <v>2887</v>
      </c>
      <c r="C1179" s="1" t="s">
        <v>412</v>
      </c>
      <c r="D1179" s="1" t="s">
        <v>340</v>
      </c>
      <c r="E1179" s="1" t="s">
        <v>586</v>
      </c>
      <c r="F1179" s="1" t="s">
        <v>414</v>
      </c>
      <c r="G1179" s="1">
        <v>140</v>
      </c>
    </row>
    <row r="1180" spans="1:7">
      <c r="A1180" s="1" t="s">
        <v>284</v>
      </c>
      <c r="B1180" s="1" t="s">
        <v>2888</v>
      </c>
      <c r="C1180" s="1" t="s">
        <v>362</v>
      </c>
      <c r="D1180" s="1" t="s">
        <v>340</v>
      </c>
      <c r="E1180" s="1" t="s">
        <v>430</v>
      </c>
      <c r="F1180" s="1" t="s">
        <v>364</v>
      </c>
      <c r="G1180" s="1">
        <v>700</v>
      </c>
    </row>
    <row r="1181" spans="1:7">
      <c r="A1181" s="1" t="s">
        <v>285</v>
      </c>
      <c r="B1181" s="1" t="s">
        <v>2889</v>
      </c>
      <c r="C1181" s="1" t="s">
        <v>339</v>
      </c>
      <c r="D1181" s="1" t="s">
        <v>340</v>
      </c>
      <c r="E1181" s="1" t="s">
        <v>809</v>
      </c>
      <c r="F1181" s="1" t="s">
        <v>342</v>
      </c>
      <c r="G1181" s="1">
        <v>200</v>
      </c>
    </row>
    <row r="1182" spans="1:7">
      <c r="A1182" s="1" t="s">
        <v>2890</v>
      </c>
      <c r="B1182" s="1" t="s">
        <v>2891</v>
      </c>
      <c r="C1182" s="1" t="s">
        <v>2892</v>
      </c>
      <c r="D1182" s="1" t="s">
        <v>355</v>
      </c>
      <c r="E1182" s="1" t="s">
        <v>2893</v>
      </c>
      <c r="F1182" s="1" t="s">
        <v>357</v>
      </c>
      <c r="G1182" s="1">
        <v>110</v>
      </c>
    </row>
    <row r="1183" spans="1:7">
      <c r="A1183" s="1" t="s">
        <v>2894</v>
      </c>
      <c r="B1183" s="1" t="s">
        <v>1128</v>
      </c>
      <c r="C1183" s="1" t="s">
        <v>824</v>
      </c>
      <c r="D1183" s="1" t="s">
        <v>340</v>
      </c>
      <c r="E1183" s="1" t="s">
        <v>825</v>
      </c>
      <c r="F1183" s="1" t="s">
        <v>419</v>
      </c>
      <c r="G1183" s="1">
        <v>100</v>
      </c>
    </row>
    <row r="1184" spans="1:7">
      <c r="A1184" s="1" t="s">
        <v>286</v>
      </c>
      <c r="B1184" s="1" t="s">
        <v>2895</v>
      </c>
      <c r="C1184" s="1" t="s">
        <v>412</v>
      </c>
      <c r="D1184" s="1" t="s">
        <v>340</v>
      </c>
      <c r="E1184" s="1" t="s">
        <v>413</v>
      </c>
      <c r="F1184" s="1" t="s">
        <v>414</v>
      </c>
      <c r="G1184" s="1">
        <v>140</v>
      </c>
    </row>
    <row r="1185" spans="1:7">
      <c r="A1185" s="1" t="s">
        <v>2896</v>
      </c>
      <c r="B1185" s="1" t="s">
        <v>2897</v>
      </c>
      <c r="C1185" s="1" t="s">
        <v>339</v>
      </c>
      <c r="D1185" s="1" t="s">
        <v>340</v>
      </c>
      <c r="E1185" s="1" t="s">
        <v>376</v>
      </c>
      <c r="F1185" s="1" t="s">
        <v>342</v>
      </c>
      <c r="G1185" s="1">
        <v>140</v>
      </c>
    </row>
    <row r="1186" spans="1:7">
      <c r="A1186" s="1" t="s">
        <v>287</v>
      </c>
      <c r="B1186" s="1" t="s">
        <v>2898</v>
      </c>
      <c r="C1186" s="1" t="s">
        <v>339</v>
      </c>
      <c r="D1186" s="1" t="s">
        <v>340</v>
      </c>
      <c r="E1186" s="1" t="s">
        <v>677</v>
      </c>
      <c r="F1186" s="1" t="s">
        <v>342</v>
      </c>
      <c r="G1186" s="1">
        <v>150</v>
      </c>
    </row>
    <row r="1187" spans="1:7">
      <c r="A1187" s="1" t="s">
        <v>2899</v>
      </c>
      <c r="B1187" s="1" t="s">
        <v>2900</v>
      </c>
      <c r="C1187" s="1" t="s">
        <v>339</v>
      </c>
      <c r="D1187" s="1" t="s">
        <v>340</v>
      </c>
      <c r="E1187" s="1" t="s">
        <v>480</v>
      </c>
      <c r="F1187" s="1" t="s">
        <v>342</v>
      </c>
      <c r="G1187" s="1">
        <v>675</v>
      </c>
    </row>
    <row r="1188" spans="1:7">
      <c r="A1188" s="1" t="s">
        <v>2901</v>
      </c>
      <c r="B1188" s="1" t="s">
        <v>2902</v>
      </c>
      <c r="C1188" s="1" t="s">
        <v>401</v>
      </c>
      <c r="D1188" s="1" t="s">
        <v>340</v>
      </c>
      <c r="E1188" s="1" t="s">
        <v>980</v>
      </c>
      <c r="F1188" s="1" t="s">
        <v>342</v>
      </c>
      <c r="G1188" s="1">
        <v>100</v>
      </c>
    </row>
    <row r="1189" spans="1:7">
      <c r="A1189" s="1" t="s">
        <v>2903</v>
      </c>
      <c r="B1189" s="1" t="s">
        <v>1968</v>
      </c>
      <c r="C1189" s="1" t="s">
        <v>339</v>
      </c>
      <c r="D1189" s="1" t="s">
        <v>340</v>
      </c>
      <c r="E1189" s="1" t="s">
        <v>457</v>
      </c>
      <c r="F1189" s="1" t="s">
        <v>342</v>
      </c>
      <c r="G1189" s="1">
        <v>100</v>
      </c>
    </row>
    <row r="1190" spans="1:7">
      <c r="A1190" s="1" t="s">
        <v>2904</v>
      </c>
      <c r="B1190" s="1" t="s">
        <v>2905</v>
      </c>
      <c r="C1190" s="1" t="s">
        <v>2906</v>
      </c>
      <c r="D1190" s="1" t="s">
        <v>1590</v>
      </c>
      <c r="E1190" s="1" t="s">
        <v>2907</v>
      </c>
      <c r="F1190" s="1" t="s">
        <v>357</v>
      </c>
      <c r="G1190" s="1">
        <v>1475</v>
      </c>
    </row>
    <row r="1191" spans="1:7">
      <c r="A1191" s="1" t="s">
        <v>2908</v>
      </c>
      <c r="B1191" s="1" t="s">
        <v>2909</v>
      </c>
      <c r="C1191" s="1" t="s">
        <v>351</v>
      </c>
      <c r="D1191" s="1" t="s">
        <v>64</v>
      </c>
      <c r="E1191" s="1" t="s">
        <v>490</v>
      </c>
      <c r="F1191" s="1" t="s">
        <v>351</v>
      </c>
      <c r="G1191" s="1">
        <v>120</v>
      </c>
    </row>
    <row r="1192" spans="1:7">
      <c r="A1192" s="1" t="s">
        <v>2910</v>
      </c>
      <c r="B1192" s="1" t="s">
        <v>2911</v>
      </c>
      <c r="C1192" s="1" t="s">
        <v>339</v>
      </c>
      <c r="D1192" s="1" t="s">
        <v>340</v>
      </c>
      <c r="E1192" s="1" t="s">
        <v>480</v>
      </c>
      <c r="F1192" s="1" t="s">
        <v>342</v>
      </c>
      <c r="G1192" s="1">
        <v>100</v>
      </c>
    </row>
    <row r="1193" spans="1:7">
      <c r="A1193" s="1" t="s">
        <v>2912</v>
      </c>
      <c r="B1193" s="1" t="s">
        <v>2913</v>
      </c>
      <c r="C1193" s="1" t="s">
        <v>747</v>
      </c>
      <c r="D1193" s="1" t="s">
        <v>340</v>
      </c>
      <c r="E1193" s="1" t="s">
        <v>748</v>
      </c>
      <c r="F1193" s="1" t="s">
        <v>347</v>
      </c>
      <c r="G1193" s="1">
        <v>135</v>
      </c>
    </row>
    <row r="1194" spans="1:7">
      <c r="A1194" s="1" t="s">
        <v>288</v>
      </c>
      <c r="B1194" s="1" t="s">
        <v>2914</v>
      </c>
      <c r="C1194" s="1" t="s">
        <v>339</v>
      </c>
      <c r="D1194" s="1" t="s">
        <v>340</v>
      </c>
      <c r="E1194" s="1" t="s">
        <v>384</v>
      </c>
      <c r="F1194" s="1" t="s">
        <v>342</v>
      </c>
      <c r="G1194" s="1">
        <v>100</v>
      </c>
    </row>
    <row r="1195" spans="1:7">
      <c r="A1195" s="1" t="s">
        <v>2915</v>
      </c>
      <c r="B1195" s="1" t="s">
        <v>2916</v>
      </c>
      <c r="C1195" s="1" t="s">
        <v>440</v>
      </c>
      <c r="D1195" s="1" t="s">
        <v>340</v>
      </c>
      <c r="E1195" s="1" t="s">
        <v>1169</v>
      </c>
      <c r="F1195" s="1" t="s">
        <v>558</v>
      </c>
      <c r="G1195" s="1">
        <v>225</v>
      </c>
    </row>
    <row r="1196" spans="1:7">
      <c r="A1196" s="1" t="s">
        <v>2917</v>
      </c>
      <c r="B1196" s="1" t="s">
        <v>2918</v>
      </c>
      <c r="C1196" s="1" t="s">
        <v>339</v>
      </c>
      <c r="D1196" s="1" t="s">
        <v>340</v>
      </c>
      <c r="E1196" s="1" t="s">
        <v>376</v>
      </c>
      <c r="F1196" s="1" t="s">
        <v>342</v>
      </c>
      <c r="G1196" s="1">
        <v>130</v>
      </c>
    </row>
    <row r="1197" spans="1:7">
      <c r="A1197" s="1" t="s">
        <v>2919</v>
      </c>
      <c r="B1197" s="1" t="s">
        <v>2920</v>
      </c>
      <c r="C1197" s="1" t="s">
        <v>1746</v>
      </c>
      <c r="D1197" s="1" t="s">
        <v>340</v>
      </c>
      <c r="E1197" s="1" t="s">
        <v>1747</v>
      </c>
      <c r="F1197" s="1" t="s">
        <v>565</v>
      </c>
      <c r="G1197" s="1">
        <v>100</v>
      </c>
    </row>
    <row r="1198" spans="1:7">
      <c r="A1198" s="1" t="s">
        <v>289</v>
      </c>
      <c r="B1198" s="1" t="s">
        <v>2921</v>
      </c>
      <c r="C1198" s="1" t="s">
        <v>339</v>
      </c>
      <c r="D1198" s="1" t="s">
        <v>340</v>
      </c>
      <c r="E1198" s="1" t="s">
        <v>1014</v>
      </c>
      <c r="F1198" s="1" t="s">
        <v>357</v>
      </c>
      <c r="G1198" s="1">
        <v>250</v>
      </c>
    </row>
    <row r="1199" spans="1:7">
      <c r="A1199" s="1" t="s">
        <v>2922</v>
      </c>
      <c r="B1199" s="1" t="s">
        <v>2923</v>
      </c>
      <c r="C1199" s="1" t="s">
        <v>584</v>
      </c>
      <c r="D1199" s="1" t="s">
        <v>64</v>
      </c>
      <c r="E1199" s="1" t="s">
        <v>1065</v>
      </c>
      <c r="F1199" s="1" t="s">
        <v>584</v>
      </c>
      <c r="G1199" s="1">
        <v>300</v>
      </c>
    </row>
    <row r="1200" spans="1:7">
      <c r="A1200" s="1" t="s">
        <v>2924</v>
      </c>
      <c r="B1200" s="1" t="s">
        <v>2925</v>
      </c>
      <c r="C1200" s="1" t="s">
        <v>1746</v>
      </c>
      <c r="D1200" s="1" t="s">
        <v>340</v>
      </c>
      <c r="E1200" s="1" t="s">
        <v>1747</v>
      </c>
      <c r="F1200" s="1" t="s">
        <v>565</v>
      </c>
      <c r="G1200" s="1">
        <v>120</v>
      </c>
    </row>
    <row r="1201" spans="1:7">
      <c r="A1201" s="1" t="s">
        <v>2926</v>
      </c>
      <c r="B1201" s="1" t="s">
        <v>2927</v>
      </c>
      <c r="C1201" s="1" t="s">
        <v>345</v>
      </c>
      <c r="D1201" s="1" t="s">
        <v>340</v>
      </c>
      <c r="E1201" s="1" t="s">
        <v>567</v>
      </c>
      <c r="F1201" s="1" t="s">
        <v>347</v>
      </c>
      <c r="G1201" s="1">
        <v>300</v>
      </c>
    </row>
    <row r="1202" spans="1:7">
      <c r="A1202" s="1" t="s">
        <v>2928</v>
      </c>
      <c r="B1202" s="1" t="s">
        <v>2929</v>
      </c>
      <c r="C1202" s="1" t="s">
        <v>436</v>
      </c>
      <c r="D1202" s="1" t="s">
        <v>340</v>
      </c>
      <c r="E1202" s="1" t="s">
        <v>610</v>
      </c>
      <c r="F1202" s="1" t="s">
        <v>565</v>
      </c>
      <c r="G1202" s="1">
        <v>100</v>
      </c>
    </row>
    <row r="1203" spans="1:7">
      <c r="A1203" s="1" t="s">
        <v>2930</v>
      </c>
      <c r="B1203" s="1" t="s">
        <v>2931</v>
      </c>
      <c r="C1203" s="1" t="s">
        <v>339</v>
      </c>
      <c r="D1203" s="1" t="s">
        <v>340</v>
      </c>
      <c r="E1203" s="1" t="s">
        <v>341</v>
      </c>
      <c r="F1203" s="1" t="s">
        <v>342</v>
      </c>
      <c r="G1203" s="1">
        <v>250</v>
      </c>
    </row>
    <row r="1204" spans="1:7">
      <c r="A1204" s="1" t="s">
        <v>2932</v>
      </c>
      <c r="B1204" s="1" t="s">
        <v>2933</v>
      </c>
      <c r="C1204" s="1" t="s">
        <v>511</v>
      </c>
      <c r="D1204" s="1" t="s">
        <v>340</v>
      </c>
      <c r="E1204" s="1" t="s">
        <v>852</v>
      </c>
      <c r="F1204" s="1" t="s">
        <v>513</v>
      </c>
      <c r="G1204" s="1">
        <v>620</v>
      </c>
    </row>
    <row r="1205" spans="1:7">
      <c r="A1205" s="1" t="s">
        <v>2934</v>
      </c>
      <c r="B1205" s="1" t="s">
        <v>2935</v>
      </c>
      <c r="C1205" s="1" t="s">
        <v>2936</v>
      </c>
      <c r="D1205" s="1" t="s">
        <v>64</v>
      </c>
      <c r="E1205" s="1" t="s">
        <v>2937</v>
      </c>
      <c r="F1205" s="1" t="s">
        <v>533</v>
      </c>
      <c r="G1205" s="1">
        <v>203</v>
      </c>
    </row>
    <row r="1206" spans="1:7">
      <c r="A1206" s="1" t="s">
        <v>290</v>
      </c>
      <c r="B1206" s="1" t="s">
        <v>2938</v>
      </c>
      <c r="C1206" s="1" t="s">
        <v>339</v>
      </c>
      <c r="D1206" s="1" t="s">
        <v>340</v>
      </c>
      <c r="E1206" s="1" t="s">
        <v>341</v>
      </c>
      <c r="F1206" s="1" t="s">
        <v>357</v>
      </c>
      <c r="G1206" s="1">
        <v>2210</v>
      </c>
    </row>
    <row r="1207" spans="1:7">
      <c r="A1207" s="1" t="s">
        <v>2939</v>
      </c>
      <c r="B1207" s="1" t="s">
        <v>1270</v>
      </c>
      <c r="C1207" s="1" t="s">
        <v>436</v>
      </c>
      <c r="D1207" s="1" t="s">
        <v>340</v>
      </c>
      <c r="E1207" s="1" t="s">
        <v>771</v>
      </c>
      <c r="F1207" s="1" t="s">
        <v>565</v>
      </c>
      <c r="G1207" s="1">
        <v>100</v>
      </c>
    </row>
    <row r="1208" spans="1:7">
      <c r="A1208" s="1" t="s">
        <v>2940</v>
      </c>
      <c r="B1208" s="1" t="s">
        <v>2941</v>
      </c>
      <c r="C1208" s="1" t="s">
        <v>447</v>
      </c>
      <c r="D1208" s="1" t="s">
        <v>340</v>
      </c>
      <c r="E1208" s="1" t="s">
        <v>448</v>
      </c>
      <c r="F1208" s="1" t="s">
        <v>449</v>
      </c>
      <c r="G1208" s="1">
        <v>200</v>
      </c>
    </row>
    <row r="1209" spans="1:7">
      <c r="A1209" s="1" t="s">
        <v>2942</v>
      </c>
      <c r="B1209" s="1" t="s">
        <v>2943</v>
      </c>
      <c r="C1209" s="1" t="s">
        <v>440</v>
      </c>
      <c r="D1209" s="1" t="s">
        <v>340</v>
      </c>
      <c r="E1209" s="1" t="s">
        <v>1169</v>
      </c>
      <c r="F1209" s="1" t="s">
        <v>558</v>
      </c>
      <c r="G1209" s="1">
        <v>100</v>
      </c>
    </row>
    <row r="1210" spans="1:7">
      <c r="A1210" s="1" t="s">
        <v>2944</v>
      </c>
      <c r="B1210" s="1" t="s">
        <v>872</v>
      </c>
      <c r="C1210" s="1" t="s">
        <v>666</v>
      </c>
      <c r="D1210" s="1" t="s">
        <v>340</v>
      </c>
      <c r="E1210" s="1" t="s">
        <v>667</v>
      </c>
      <c r="F1210" s="1" t="s">
        <v>558</v>
      </c>
      <c r="G1210" s="1">
        <v>230</v>
      </c>
    </row>
    <row r="1211" spans="1:7">
      <c r="A1211" s="1" t="s">
        <v>2945</v>
      </c>
      <c r="B1211" s="1" t="s">
        <v>2946</v>
      </c>
      <c r="C1211" s="1" t="s">
        <v>349</v>
      </c>
      <c r="D1211" s="1" t="s">
        <v>64</v>
      </c>
      <c r="E1211" s="1" t="s">
        <v>350</v>
      </c>
      <c r="F1211" s="1" t="s">
        <v>351</v>
      </c>
      <c r="G1211" s="1">
        <v>150</v>
      </c>
    </row>
    <row r="1212" spans="1:7">
      <c r="A1212" s="1" t="s">
        <v>2947</v>
      </c>
      <c r="B1212" s="1" t="s">
        <v>2948</v>
      </c>
      <c r="C1212" s="1" t="s">
        <v>511</v>
      </c>
      <c r="D1212" s="1" t="s">
        <v>340</v>
      </c>
      <c r="E1212" s="1" t="s">
        <v>852</v>
      </c>
      <c r="F1212" s="1" t="s">
        <v>513</v>
      </c>
      <c r="G1212" s="1">
        <v>230</v>
      </c>
    </row>
    <row r="1213" spans="1:7">
      <c r="A1213" s="1" t="s">
        <v>2949</v>
      </c>
      <c r="B1213" s="1" t="s">
        <v>2950</v>
      </c>
      <c r="C1213" s="1" t="s">
        <v>1420</v>
      </c>
      <c r="D1213" s="1" t="s">
        <v>340</v>
      </c>
      <c r="E1213" s="1" t="s">
        <v>1421</v>
      </c>
      <c r="F1213" s="1" t="s">
        <v>427</v>
      </c>
      <c r="G1213" s="1">
        <v>200</v>
      </c>
    </row>
    <row r="1214" spans="1:7">
      <c r="A1214" s="1" t="s">
        <v>2951</v>
      </c>
      <c r="B1214" s="1" t="s">
        <v>2952</v>
      </c>
      <c r="C1214" s="1" t="s">
        <v>362</v>
      </c>
      <c r="D1214" s="1" t="s">
        <v>340</v>
      </c>
      <c r="E1214" s="1" t="s">
        <v>363</v>
      </c>
      <c r="F1214" s="1" t="s">
        <v>364</v>
      </c>
      <c r="G1214" s="1">
        <v>130</v>
      </c>
    </row>
    <row r="1215" spans="1:7">
      <c r="A1215" s="1" t="s">
        <v>2953</v>
      </c>
      <c r="B1215" s="1" t="s">
        <v>2954</v>
      </c>
      <c r="C1215" s="1" t="s">
        <v>705</v>
      </c>
      <c r="D1215" s="1" t="s">
        <v>340</v>
      </c>
      <c r="E1215" s="1" t="s">
        <v>706</v>
      </c>
      <c r="F1215" s="1" t="s">
        <v>347</v>
      </c>
      <c r="G1215" s="1">
        <v>140</v>
      </c>
    </row>
    <row r="1216" spans="1:7">
      <c r="A1216" s="1" t="s">
        <v>291</v>
      </c>
      <c r="B1216" s="1" t="s">
        <v>2955</v>
      </c>
      <c r="C1216" s="1" t="s">
        <v>775</v>
      </c>
      <c r="D1216" s="1" t="s">
        <v>64</v>
      </c>
      <c r="E1216" s="1" t="s">
        <v>1396</v>
      </c>
      <c r="F1216" s="1" t="s">
        <v>775</v>
      </c>
      <c r="G1216" s="1">
        <v>100</v>
      </c>
    </row>
    <row r="1217" spans="1:7">
      <c r="A1217" s="1" t="s">
        <v>2956</v>
      </c>
      <c r="B1217" s="1" t="s">
        <v>2957</v>
      </c>
      <c r="C1217" s="1" t="s">
        <v>339</v>
      </c>
      <c r="D1217" s="1" t="s">
        <v>340</v>
      </c>
      <c r="E1217" s="1" t="s">
        <v>830</v>
      </c>
      <c r="F1217" s="1" t="s">
        <v>342</v>
      </c>
      <c r="G1217" s="1">
        <v>100</v>
      </c>
    </row>
    <row r="1218" spans="1:7">
      <c r="A1218" s="1" t="s">
        <v>2958</v>
      </c>
      <c r="B1218" s="1" t="s">
        <v>1395</v>
      </c>
      <c r="C1218" s="1" t="s">
        <v>440</v>
      </c>
      <c r="D1218" s="1" t="s">
        <v>340</v>
      </c>
      <c r="E1218" s="1" t="s">
        <v>441</v>
      </c>
      <c r="F1218" s="1" t="s">
        <v>357</v>
      </c>
      <c r="G1218" s="1">
        <v>409</v>
      </c>
    </row>
    <row r="1219" spans="1:7">
      <c r="A1219" s="1" t="s">
        <v>2959</v>
      </c>
      <c r="B1219" s="1" t="s">
        <v>2960</v>
      </c>
      <c r="C1219" s="1" t="s">
        <v>501</v>
      </c>
      <c r="D1219" s="1" t="s">
        <v>340</v>
      </c>
      <c r="E1219" s="1" t="s">
        <v>502</v>
      </c>
      <c r="F1219" s="1" t="s">
        <v>364</v>
      </c>
      <c r="G1219" s="1">
        <v>200</v>
      </c>
    </row>
    <row r="1220" spans="1:7">
      <c r="A1220" s="1" t="s">
        <v>2961</v>
      </c>
      <c r="B1220" s="1" t="s">
        <v>2962</v>
      </c>
      <c r="C1220" s="1" t="s">
        <v>401</v>
      </c>
      <c r="D1220" s="1" t="s">
        <v>340</v>
      </c>
      <c r="E1220" s="1" t="s">
        <v>980</v>
      </c>
      <c r="F1220" s="1" t="s">
        <v>342</v>
      </c>
      <c r="G1220" s="1">
        <v>160</v>
      </c>
    </row>
    <row r="1221" spans="1:7">
      <c r="A1221" s="1" t="s">
        <v>2963</v>
      </c>
      <c r="B1221" s="1" t="s">
        <v>2964</v>
      </c>
      <c r="C1221" s="1" t="s">
        <v>362</v>
      </c>
      <c r="D1221" s="1" t="s">
        <v>340</v>
      </c>
      <c r="E1221" s="1" t="s">
        <v>430</v>
      </c>
      <c r="F1221" s="1" t="s">
        <v>357</v>
      </c>
      <c r="G1221" s="1">
        <v>494</v>
      </c>
    </row>
    <row r="1222" spans="1:7">
      <c r="A1222" s="1" t="s">
        <v>2965</v>
      </c>
      <c r="B1222" s="1" t="s">
        <v>2966</v>
      </c>
      <c r="C1222" s="1" t="s">
        <v>339</v>
      </c>
      <c r="D1222" s="1" t="s">
        <v>340</v>
      </c>
      <c r="E1222" s="1" t="s">
        <v>471</v>
      </c>
      <c r="F1222" s="1" t="s">
        <v>342</v>
      </c>
      <c r="G1222" s="1">
        <v>2100</v>
      </c>
    </row>
    <row r="1223" spans="1:7">
      <c r="A1223" s="1" t="s">
        <v>2967</v>
      </c>
      <c r="B1223" s="1" t="s">
        <v>2968</v>
      </c>
      <c r="C1223" s="1" t="s">
        <v>417</v>
      </c>
      <c r="D1223" s="1" t="s">
        <v>340</v>
      </c>
      <c r="E1223" s="1">
        <v>28073</v>
      </c>
      <c r="F1223" s="1" t="s">
        <v>419</v>
      </c>
      <c r="G1223" s="1">
        <v>175</v>
      </c>
    </row>
    <row r="1224" spans="1:7">
      <c r="A1224" s="1" t="s">
        <v>2969</v>
      </c>
      <c r="B1224" s="1" t="s">
        <v>2970</v>
      </c>
      <c r="C1224" s="1" t="s">
        <v>345</v>
      </c>
      <c r="D1224" s="1" t="s">
        <v>340</v>
      </c>
      <c r="E1224" s="1" t="s">
        <v>422</v>
      </c>
      <c r="F1224" s="1" t="s">
        <v>347</v>
      </c>
      <c r="G1224" s="1">
        <v>100</v>
      </c>
    </row>
    <row r="1225" spans="1:7">
      <c r="A1225" s="1" t="s">
        <v>2971</v>
      </c>
      <c r="B1225" s="1" t="s">
        <v>2972</v>
      </c>
      <c r="C1225" s="1" t="s">
        <v>339</v>
      </c>
      <c r="D1225" s="1" t="s">
        <v>340</v>
      </c>
      <c r="E1225" s="1" t="s">
        <v>480</v>
      </c>
      <c r="F1225" s="1" t="s">
        <v>342</v>
      </c>
      <c r="G1225" s="1">
        <v>1200</v>
      </c>
    </row>
    <row r="1226" spans="1:7">
      <c r="A1226" s="1" t="s">
        <v>292</v>
      </c>
      <c r="B1226" s="1" t="s">
        <v>2973</v>
      </c>
      <c r="C1226" s="1" t="s">
        <v>339</v>
      </c>
      <c r="D1226" s="1" t="s">
        <v>340</v>
      </c>
      <c r="E1226" s="1" t="s">
        <v>830</v>
      </c>
      <c r="F1226" s="1" t="s">
        <v>342</v>
      </c>
      <c r="G1226" s="1">
        <v>113</v>
      </c>
    </row>
    <row r="1227" spans="1:7">
      <c r="A1227" s="1" t="s">
        <v>2974</v>
      </c>
      <c r="B1227" s="1" t="s">
        <v>2975</v>
      </c>
      <c r="C1227" s="1" t="s">
        <v>2976</v>
      </c>
      <c r="D1227" s="1" t="s">
        <v>340</v>
      </c>
      <c r="E1227" s="1" t="s">
        <v>2977</v>
      </c>
      <c r="F1227" s="1" t="s">
        <v>381</v>
      </c>
      <c r="G1227" s="1">
        <v>790</v>
      </c>
    </row>
    <row r="1228" spans="1:7">
      <c r="A1228" s="1" t="s">
        <v>2978</v>
      </c>
      <c r="B1228" s="1" t="s">
        <v>2979</v>
      </c>
      <c r="C1228" s="1" t="s">
        <v>339</v>
      </c>
      <c r="D1228" s="1" t="s">
        <v>340</v>
      </c>
      <c r="E1228" s="1" t="s">
        <v>480</v>
      </c>
      <c r="F1228" s="1" t="s">
        <v>357</v>
      </c>
      <c r="G1228" s="1">
        <v>880</v>
      </c>
    </row>
    <row r="1229" spans="1:7">
      <c r="A1229" s="1" t="s">
        <v>2980</v>
      </c>
      <c r="B1229" s="1" t="s">
        <v>2981</v>
      </c>
      <c r="C1229" s="1" t="s">
        <v>918</v>
      </c>
      <c r="D1229" s="1" t="s">
        <v>64</v>
      </c>
      <c r="E1229" s="1" t="s">
        <v>919</v>
      </c>
      <c r="F1229" s="1" t="s">
        <v>533</v>
      </c>
      <c r="G1229" s="1">
        <v>350</v>
      </c>
    </row>
    <row r="1230" spans="1:7">
      <c r="A1230" s="1" t="s">
        <v>2982</v>
      </c>
      <c r="B1230" s="1" t="s">
        <v>2983</v>
      </c>
      <c r="C1230" s="1" t="s">
        <v>339</v>
      </c>
      <c r="D1230" s="1" t="s">
        <v>340</v>
      </c>
      <c r="E1230" s="1" t="s">
        <v>577</v>
      </c>
      <c r="F1230" s="1" t="s">
        <v>342</v>
      </c>
      <c r="G1230" s="1">
        <v>327</v>
      </c>
    </row>
    <row r="1231" spans="1:7">
      <c r="A1231" s="1" t="s">
        <v>2984</v>
      </c>
      <c r="B1231" s="1" t="s">
        <v>2985</v>
      </c>
      <c r="C1231" s="1" t="s">
        <v>362</v>
      </c>
      <c r="D1231" s="1" t="s">
        <v>340</v>
      </c>
      <c r="E1231" s="1" t="s">
        <v>430</v>
      </c>
      <c r="F1231" s="1" t="s">
        <v>364</v>
      </c>
      <c r="G1231" s="1">
        <v>200</v>
      </c>
    </row>
    <row r="1232" spans="1:7">
      <c r="A1232" s="1" t="s">
        <v>2986</v>
      </c>
      <c r="B1232" s="1" t="s">
        <v>1415</v>
      </c>
      <c r="C1232" s="1" t="s">
        <v>918</v>
      </c>
      <c r="D1232" s="1" t="s">
        <v>64</v>
      </c>
      <c r="E1232" s="1" t="s">
        <v>919</v>
      </c>
      <c r="F1232" s="1" t="s">
        <v>533</v>
      </c>
      <c r="G1232" s="1">
        <v>100</v>
      </c>
    </row>
    <row r="1233" spans="1:7">
      <c r="A1233" s="1" t="s">
        <v>2987</v>
      </c>
      <c r="B1233" s="1" t="s">
        <v>2988</v>
      </c>
      <c r="C1233" s="1" t="s">
        <v>460</v>
      </c>
      <c r="D1233" s="1" t="s">
        <v>340</v>
      </c>
      <c r="E1233" s="1" t="s">
        <v>461</v>
      </c>
      <c r="F1233" s="1" t="s">
        <v>342</v>
      </c>
      <c r="G1233" s="1">
        <v>135</v>
      </c>
    </row>
    <row r="1234" spans="1:7">
      <c r="A1234" s="1" t="s">
        <v>2989</v>
      </c>
      <c r="B1234" s="1" t="s">
        <v>2990</v>
      </c>
      <c r="C1234" s="1" t="s">
        <v>401</v>
      </c>
      <c r="D1234" s="1" t="s">
        <v>340</v>
      </c>
      <c r="E1234" s="1" t="s">
        <v>980</v>
      </c>
      <c r="F1234" s="1" t="s">
        <v>342</v>
      </c>
      <c r="G1234" s="1">
        <v>132</v>
      </c>
    </row>
    <row r="1235" spans="1:7">
      <c r="A1235" s="1" t="s">
        <v>2991</v>
      </c>
      <c r="B1235" s="1" t="s">
        <v>2992</v>
      </c>
      <c r="C1235" s="1" t="s">
        <v>723</v>
      </c>
      <c r="D1235" s="1" t="s">
        <v>340</v>
      </c>
      <c r="E1235" s="1" t="s">
        <v>724</v>
      </c>
      <c r="F1235" s="1" t="s">
        <v>364</v>
      </c>
      <c r="G1235" s="1">
        <v>400</v>
      </c>
    </row>
    <row r="1236" spans="1:7">
      <c r="A1236" s="1" t="s">
        <v>2993</v>
      </c>
      <c r="B1236" s="1" t="s">
        <v>2994</v>
      </c>
      <c r="C1236" s="1" t="s">
        <v>460</v>
      </c>
      <c r="D1236" s="1" t="s">
        <v>340</v>
      </c>
      <c r="E1236" s="1" t="s">
        <v>461</v>
      </c>
      <c r="F1236" s="1" t="s">
        <v>342</v>
      </c>
      <c r="G1236" s="1">
        <v>142</v>
      </c>
    </row>
    <row r="1237" spans="1:7">
      <c r="A1237" s="1" t="s">
        <v>2995</v>
      </c>
      <c r="B1237" s="1" t="s">
        <v>2996</v>
      </c>
      <c r="C1237" s="1" t="s">
        <v>2997</v>
      </c>
      <c r="D1237" s="1" t="s">
        <v>695</v>
      </c>
      <c r="E1237" s="1" t="s">
        <v>2998</v>
      </c>
      <c r="F1237" s="1" t="s">
        <v>357</v>
      </c>
      <c r="G1237" s="1">
        <v>200</v>
      </c>
    </row>
    <row r="1238" spans="1:7">
      <c r="A1238" s="1" t="s">
        <v>2999</v>
      </c>
      <c r="B1238" s="1" t="s">
        <v>3000</v>
      </c>
      <c r="C1238" s="1" t="s">
        <v>339</v>
      </c>
      <c r="D1238" s="1" t="s">
        <v>340</v>
      </c>
      <c r="E1238" s="1" t="s">
        <v>404</v>
      </c>
      <c r="F1238" s="1" t="s">
        <v>342</v>
      </c>
      <c r="G1238" s="1">
        <v>100</v>
      </c>
    </row>
    <row r="1239" spans="1:7">
      <c r="A1239" s="1" t="s">
        <v>3001</v>
      </c>
      <c r="B1239" s="1" t="s">
        <v>3002</v>
      </c>
      <c r="C1239" s="1" t="s">
        <v>339</v>
      </c>
      <c r="D1239" s="1" t="s">
        <v>340</v>
      </c>
      <c r="E1239" s="1" t="s">
        <v>404</v>
      </c>
      <c r="F1239" s="1" t="s">
        <v>342</v>
      </c>
      <c r="G1239" s="1">
        <v>150</v>
      </c>
    </row>
    <row r="1240" spans="1:7">
      <c r="A1240" s="1" t="s">
        <v>293</v>
      </c>
      <c r="B1240" s="1" t="s">
        <v>3003</v>
      </c>
      <c r="C1240" s="1" t="s">
        <v>339</v>
      </c>
      <c r="D1240" s="1" t="s">
        <v>340</v>
      </c>
      <c r="E1240" s="1" t="s">
        <v>677</v>
      </c>
      <c r="F1240" s="1" t="s">
        <v>342</v>
      </c>
      <c r="G1240" s="1">
        <v>160</v>
      </c>
    </row>
    <row r="1241" spans="1:7">
      <c r="A1241" s="1" t="s">
        <v>294</v>
      </c>
      <c r="B1241" s="1" t="s">
        <v>3004</v>
      </c>
      <c r="C1241" s="1" t="s">
        <v>339</v>
      </c>
      <c r="D1241" s="1" t="s">
        <v>340</v>
      </c>
      <c r="E1241" s="1" t="s">
        <v>404</v>
      </c>
      <c r="F1241" s="1" t="s">
        <v>342</v>
      </c>
      <c r="G1241" s="1">
        <v>200</v>
      </c>
    </row>
    <row r="1242" spans="1:7">
      <c r="A1242" s="1" t="s">
        <v>295</v>
      </c>
      <c r="B1242" s="1" t="s">
        <v>3005</v>
      </c>
      <c r="C1242" s="1" t="s">
        <v>339</v>
      </c>
      <c r="D1242" s="1" t="s">
        <v>340</v>
      </c>
      <c r="E1242" s="1" t="s">
        <v>677</v>
      </c>
      <c r="F1242" s="1" t="s">
        <v>342</v>
      </c>
      <c r="G1242" s="1">
        <v>350</v>
      </c>
    </row>
    <row r="1243" spans="1:7">
      <c r="A1243" s="1" t="s">
        <v>3006</v>
      </c>
      <c r="B1243" s="1" t="s">
        <v>3007</v>
      </c>
      <c r="C1243" s="1" t="s">
        <v>339</v>
      </c>
      <c r="D1243" s="1" t="s">
        <v>340</v>
      </c>
      <c r="E1243" s="1" t="s">
        <v>384</v>
      </c>
      <c r="F1243" s="1" t="s">
        <v>342</v>
      </c>
      <c r="G1243" s="1">
        <v>800</v>
      </c>
    </row>
    <row r="1244" spans="1:7">
      <c r="A1244" s="1" t="s">
        <v>3008</v>
      </c>
      <c r="B1244" s="1" t="s">
        <v>3009</v>
      </c>
      <c r="C1244" s="1" t="s">
        <v>858</v>
      </c>
      <c r="D1244" s="1" t="s">
        <v>340</v>
      </c>
      <c r="E1244" s="1" t="s">
        <v>859</v>
      </c>
      <c r="F1244" s="1" t="s">
        <v>513</v>
      </c>
      <c r="G1244" s="1">
        <v>128</v>
      </c>
    </row>
    <row r="1245" spans="1:7">
      <c r="A1245" s="1" t="s">
        <v>3010</v>
      </c>
      <c r="B1245" s="1" t="s">
        <v>3011</v>
      </c>
      <c r="C1245" s="1" t="s">
        <v>339</v>
      </c>
      <c r="D1245" s="1" t="s">
        <v>340</v>
      </c>
      <c r="E1245" s="1" t="s">
        <v>480</v>
      </c>
      <c r="F1245" s="1" t="s">
        <v>342</v>
      </c>
      <c r="G1245" s="1">
        <v>150</v>
      </c>
    </row>
    <row r="1246" spans="1:7">
      <c r="A1246" s="1" t="s">
        <v>3012</v>
      </c>
      <c r="B1246" s="1" t="s">
        <v>3013</v>
      </c>
      <c r="C1246" s="1" t="s">
        <v>339</v>
      </c>
      <c r="D1246" s="1" t="s">
        <v>340</v>
      </c>
      <c r="E1246" s="1" t="s">
        <v>384</v>
      </c>
      <c r="F1246" s="1" t="s">
        <v>342</v>
      </c>
      <c r="G1246" s="1">
        <v>235</v>
      </c>
    </row>
    <row r="1247" spans="1:7">
      <c r="A1247" s="1" t="s">
        <v>3014</v>
      </c>
      <c r="B1247" s="1" t="s">
        <v>3015</v>
      </c>
      <c r="C1247" s="1" t="s">
        <v>524</v>
      </c>
      <c r="D1247" s="1" t="s">
        <v>340</v>
      </c>
      <c r="E1247" s="1" t="s">
        <v>525</v>
      </c>
      <c r="F1247" s="1" t="s">
        <v>526</v>
      </c>
      <c r="G1247" s="1">
        <v>126</v>
      </c>
    </row>
    <row r="1248" spans="1:7">
      <c r="A1248" s="1" t="s">
        <v>3016</v>
      </c>
      <c r="B1248" s="1" t="s">
        <v>3017</v>
      </c>
      <c r="C1248" s="1" t="s">
        <v>52</v>
      </c>
      <c r="D1248" s="1" t="s">
        <v>53</v>
      </c>
      <c r="E1248" s="1" t="s">
        <v>3018</v>
      </c>
      <c r="F1248" s="1" t="s">
        <v>357</v>
      </c>
      <c r="G1248" s="1">
        <v>720</v>
      </c>
    </row>
    <row r="1249" spans="1:7">
      <c r="A1249" s="1" t="s">
        <v>3019</v>
      </c>
      <c r="B1249" s="1" t="s">
        <v>3020</v>
      </c>
      <c r="C1249" s="1" t="s">
        <v>362</v>
      </c>
      <c r="D1249" s="1" t="s">
        <v>340</v>
      </c>
      <c r="E1249" s="1" t="s">
        <v>518</v>
      </c>
      <c r="F1249" s="1" t="s">
        <v>364</v>
      </c>
      <c r="G1249" s="1">
        <v>300</v>
      </c>
    </row>
    <row r="1250" spans="1:7">
      <c r="A1250" s="1" t="s">
        <v>296</v>
      </c>
      <c r="B1250" s="1" t="s">
        <v>3021</v>
      </c>
      <c r="C1250" s="1" t="s">
        <v>339</v>
      </c>
      <c r="D1250" s="1" t="s">
        <v>340</v>
      </c>
      <c r="E1250" s="1" t="s">
        <v>390</v>
      </c>
      <c r="F1250" s="1" t="s">
        <v>342</v>
      </c>
      <c r="G1250" s="1">
        <v>100</v>
      </c>
    </row>
    <row r="1251" spans="1:7">
      <c r="A1251" s="1" t="s">
        <v>3022</v>
      </c>
      <c r="B1251" s="1" t="s">
        <v>485</v>
      </c>
      <c r="C1251" s="1" t="s">
        <v>511</v>
      </c>
      <c r="D1251" s="1" t="s">
        <v>340</v>
      </c>
      <c r="E1251" s="1" t="s">
        <v>852</v>
      </c>
      <c r="F1251" s="1" t="s">
        <v>513</v>
      </c>
      <c r="G1251" s="1">
        <v>100</v>
      </c>
    </row>
    <row r="1252" spans="1:7">
      <c r="A1252" s="1" t="s">
        <v>3023</v>
      </c>
      <c r="B1252" s="1" t="s">
        <v>3024</v>
      </c>
      <c r="C1252" s="1" t="s">
        <v>339</v>
      </c>
      <c r="D1252" s="1" t="s">
        <v>340</v>
      </c>
      <c r="E1252" s="1" t="s">
        <v>629</v>
      </c>
      <c r="F1252" s="1" t="s">
        <v>342</v>
      </c>
      <c r="G1252" s="1">
        <v>100</v>
      </c>
    </row>
    <row r="1253" spans="1:7">
      <c r="A1253" s="1" t="s">
        <v>3025</v>
      </c>
      <c r="B1253" s="1" t="s">
        <v>3026</v>
      </c>
      <c r="C1253" s="1" t="s">
        <v>345</v>
      </c>
      <c r="D1253" s="1" t="s">
        <v>340</v>
      </c>
      <c r="E1253" s="1" t="s">
        <v>567</v>
      </c>
      <c r="F1253" s="1" t="s">
        <v>347</v>
      </c>
      <c r="G1253" s="1">
        <v>132</v>
      </c>
    </row>
    <row r="1254" spans="1:7">
      <c r="A1254" s="1" t="s">
        <v>3027</v>
      </c>
      <c r="B1254" s="1" t="s">
        <v>3028</v>
      </c>
      <c r="C1254" s="1" t="s">
        <v>339</v>
      </c>
      <c r="D1254" s="1" t="s">
        <v>340</v>
      </c>
      <c r="E1254" s="1" t="s">
        <v>390</v>
      </c>
      <c r="F1254" s="1" t="s">
        <v>342</v>
      </c>
      <c r="G1254" s="1">
        <v>100</v>
      </c>
    </row>
    <row r="1255" spans="1:7">
      <c r="A1255" s="1" t="s">
        <v>3029</v>
      </c>
      <c r="B1255" s="1" t="s">
        <v>3030</v>
      </c>
      <c r="C1255" s="1" t="s">
        <v>339</v>
      </c>
      <c r="D1255" s="1" t="s">
        <v>340</v>
      </c>
      <c r="E1255" s="1" t="s">
        <v>1093</v>
      </c>
      <c r="F1255" s="1" t="s">
        <v>342</v>
      </c>
      <c r="G1255" s="1">
        <v>100</v>
      </c>
    </row>
    <row r="1256" spans="1:7">
      <c r="A1256" s="1" t="s">
        <v>3031</v>
      </c>
      <c r="B1256" s="1" t="s">
        <v>3032</v>
      </c>
      <c r="C1256" s="1" t="s">
        <v>339</v>
      </c>
      <c r="D1256" s="1" t="s">
        <v>340</v>
      </c>
      <c r="E1256" s="1" t="s">
        <v>735</v>
      </c>
      <c r="F1256" s="1" t="s">
        <v>357</v>
      </c>
      <c r="G1256" s="1">
        <v>120</v>
      </c>
    </row>
    <row r="1257" spans="1:7">
      <c r="A1257" s="1" t="s">
        <v>3033</v>
      </c>
      <c r="B1257" s="1" t="s">
        <v>3034</v>
      </c>
      <c r="C1257" s="1" t="s">
        <v>339</v>
      </c>
      <c r="D1257" s="1" t="s">
        <v>340</v>
      </c>
      <c r="E1257" s="1" t="s">
        <v>480</v>
      </c>
      <c r="F1257" s="1" t="s">
        <v>342</v>
      </c>
      <c r="G1257" s="1">
        <v>100</v>
      </c>
    </row>
    <row r="1258" spans="1:7">
      <c r="A1258" s="1" t="s">
        <v>3035</v>
      </c>
      <c r="B1258" s="1" t="s">
        <v>3036</v>
      </c>
      <c r="C1258" s="1" t="s">
        <v>440</v>
      </c>
      <c r="D1258" s="1" t="s">
        <v>340</v>
      </c>
      <c r="E1258" s="1" t="s">
        <v>441</v>
      </c>
      <c r="F1258" s="1" t="s">
        <v>558</v>
      </c>
      <c r="G1258" s="1">
        <v>198</v>
      </c>
    </row>
    <row r="1259" spans="1:7">
      <c r="A1259" s="1" t="s">
        <v>3037</v>
      </c>
      <c r="B1259" s="1" t="s">
        <v>3038</v>
      </c>
      <c r="C1259" s="1" t="s">
        <v>362</v>
      </c>
      <c r="D1259" s="1" t="s">
        <v>340</v>
      </c>
      <c r="E1259" s="1" t="s">
        <v>363</v>
      </c>
      <c r="F1259" s="1" t="s">
        <v>364</v>
      </c>
      <c r="G1259" s="1">
        <v>150</v>
      </c>
    </row>
    <row r="1260" spans="1:7">
      <c r="A1260" s="1" t="s">
        <v>3039</v>
      </c>
      <c r="B1260" s="1" t="s">
        <v>3040</v>
      </c>
      <c r="C1260" s="1" t="s">
        <v>362</v>
      </c>
      <c r="D1260" s="1" t="s">
        <v>340</v>
      </c>
      <c r="E1260" s="1" t="s">
        <v>363</v>
      </c>
      <c r="F1260" s="1" t="s">
        <v>364</v>
      </c>
      <c r="G1260" s="1">
        <v>205</v>
      </c>
    </row>
    <row r="1261" spans="1:7">
      <c r="A1261" s="1" t="s">
        <v>3041</v>
      </c>
      <c r="B1261" s="1" t="s">
        <v>3042</v>
      </c>
      <c r="C1261" s="1" t="s">
        <v>666</v>
      </c>
      <c r="D1261" s="1" t="s">
        <v>340</v>
      </c>
      <c r="E1261" s="1" t="s">
        <v>667</v>
      </c>
      <c r="F1261" s="1" t="s">
        <v>558</v>
      </c>
      <c r="G1261" s="1">
        <v>250</v>
      </c>
    </row>
    <row r="1262" spans="1:7">
      <c r="A1262" s="1" t="s">
        <v>3043</v>
      </c>
      <c r="B1262" s="1" t="s">
        <v>3044</v>
      </c>
      <c r="C1262" s="1" t="s">
        <v>824</v>
      </c>
      <c r="D1262" s="1" t="s">
        <v>340</v>
      </c>
      <c r="E1262" s="1" t="s">
        <v>825</v>
      </c>
      <c r="F1262" s="1" t="s">
        <v>419</v>
      </c>
      <c r="G1262" s="1">
        <v>150</v>
      </c>
    </row>
    <row r="1263" spans="1:7">
      <c r="A1263" s="1" t="s">
        <v>3045</v>
      </c>
      <c r="B1263" s="1" t="s">
        <v>3046</v>
      </c>
      <c r="C1263" s="1" t="s">
        <v>339</v>
      </c>
      <c r="D1263" s="1" t="s">
        <v>340</v>
      </c>
      <c r="E1263" s="1" t="s">
        <v>577</v>
      </c>
      <c r="F1263" s="1" t="s">
        <v>342</v>
      </c>
      <c r="G1263" s="1">
        <v>101</v>
      </c>
    </row>
    <row r="1264" spans="1:7">
      <c r="A1264" s="1" t="s">
        <v>3047</v>
      </c>
      <c r="B1264" s="1" t="s">
        <v>3048</v>
      </c>
      <c r="C1264" s="1" t="s">
        <v>1558</v>
      </c>
      <c r="D1264" s="1" t="s">
        <v>340</v>
      </c>
      <c r="E1264" s="1" t="s">
        <v>1559</v>
      </c>
      <c r="F1264" s="1" t="s">
        <v>419</v>
      </c>
      <c r="G1264" s="1">
        <v>120</v>
      </c>
    </row>
    <row r="1265" spans="1:7">
      <c r="A1265" s="1" t="s">
        <v>3049</v>
      </c>
      <c r="B1265" s="1" t="s">
        <v>3050</v>
      </c>
      <c r="C1265" s="1" t="s">
        <v>3051</v>
      </c>
      <c r="D1265" s="1" t="s">
        <v>340</v>
      </c>
      <c r="E1265" s="1" t="s">
        <v>3052</v>
      </c>
      <c r="F1265" s="1" t="s">
        <v>357</v>
      </c>
      <c r="G1265" s="1">
        <v>425</v>
      </c>
    </row>
    <row r="1266" spans="1:7">
      <c r="A1266" s="1" t="s">
        <v>3053</v>
      </c>
      <c r="B1266" s="1" t="s">
        <v>1914</v>
      </c>
      <c r="C1266" s="1" t="s">
        <v>556</v>
      </c>
      <c r="D1266" s="1" t="s">
        <v>340</v>
      </c>
      <c r="E1266" s="1" t="s">
        <v>557</v>
      </c>
      <c r="F1266" s="1" t="s">
        <v>558</v>
      </c>
      <c r="G1266" s="1">
        <v>200</v>
      </c>
    </row>
    <row r="1267" spans="1:7">
      <c r="A1267" s="1" t="s">
        <v>3054</v>
      </c>
      <c r="B1267" s="1" t="s">
        <v>3055</v>
      </c>
      <c r="C1267" s="1" t="s">
        <v>349</v>
      </c>
      <c r="D1267" s="1" t="s">
        <v>64</v>
      </c>
      <c r="E1267" s="1" t="s">
        <v>350</v>
      </c>
      <c r="F1267" s="1" t="s">
        <v>351</v>
      </c>
      <c r="G1267" s="1">
        <v>500</v>
      </c>
    </row>
    <row r="1268" spans="1:7">
      <c r="A1268" s="1" t="s">
        <v>3056</v>
      </c>
      <c r="B1268" s="1" t="s">
        <v>3057</v>
      </c>
      <c r="C1268" s="1" t="s">
        <v>412</v>
      </c>
      <c r="D1268" s="1" t="s">
        <v>340</v>
      </c>
      <c r="E1268" s="1" t="s">
        <v>586</v>
      </c>
      <c r="F1268" s="1" t="s">
        <v>414</v>
      </c>
      <c r="G1268" s="1">
        <v>1300</v>
      </c>
    </row>
    <row r="1269" spans="1:7">
      <c r="A1269" s="1" t="s">
        <v>3058</v>
      </c>
      <c r="B1269" s="1" t="s">
        <v>3059</v>
      </c>
      <c r="C1269" s="1" t="s">
        <v>339</v>
      </c>
      <c r="D1269" s="1" t="s">
        <v>340</v>
      </c>
      <c r="E1269" s="1" t="s">
        <v>613</v>
      </c>
      <c r="F1269" s="1" t="s">
        <v>357</v>
      </c>
      <c r="G1269" s="1">
        <v>110</v>
      </c>
    </row>
    <row r="1270" spans="1:7">
      <c r="A1270" s="1" t="s">
        <v>3060</v>
      </c>
      <c r="B1270" s="1" t="s">
        <v>3061</v>
      </c>
      <c r="C1270" s="1" t="s">
        <v>379</v>
      </c>
      <c r="D1270" s="1" t="s">
        <v>340</v>
      </c>
      <c r="E1270" s="1" t="s">
        <v>380</v>
      </c>
      <c r="F1270" s="1" t="s">
        <v>381</v>
      </c>
      <c r="G1270" s="1">
        <v>100</v>
      </c>
    </row>
    <row r="1271" spans="1:7">
      <c r="A1271" s="1" t="s">
        <v>3062</v>
      </c>
      <c r="B1271" s="1" t="s">
        <v>3063</v>
      </c>
      <c r="C1271" s="1" t="s">
        <v>412</v>
      </c>
      <c r="D1271" s="1" t="s">
        <v>340</v>
      </c>
      <c r="E1271" s="1" t="s">
        <v>813</v>
      </c>
      <c r="F1271" s="1" t="s">
        <v>414</v>
      </c>
      <c r="G1271" s="1">
        <v>750</v>
      </c>
    </row>
    <row r="1272" spans="1:7">
      <c r="A1272" s="1" t="s">
        <v>3064</v>
      </c>
      <c r="B1272" s="1" t="s">
        <v>3065</v>
      </c>
      <c r="C1272" s="1" t="s">
        <v>412</v>
      </c>
      <c r="D1272" s="1" t="s">
        <v>340</v>
      </c>
      <c r="E1272" s="1" t="s">
        <v>813</v>
      </c>
      <c r="F1272" s="1" t="s">
        <v>414</v>
      </c>
      <c r="G1272" s="1">
        <v>4744</v>
      </c>
    </row>
    <row r="1273" spans="1:7">
      <c r="A1273" s="1" t="s">
        <v>3066</v>
      </c>
      <c r="B1273" s="1" t="s">
        <v>3067</v>
      </c>
      <c r="C1273" s="1" t="s">
        <v>412</v>
      </c>
      <c r="D1273" s="1" t="s">
        <v>340</v>
      </c>
      <c r="E1273" s="1" t="s">
        <v>586</v>
      </c>
      <c r="F1273" s="1" t="s">
        <v>414</v>
      </c>
      <c r="G1273" s="1">
        <v>115</v>
      </c>
    </row>
    <row r="1274" spans="1:7">
      <c r="A1274" s="1" t="s">
        <v>3068</v>
      </c>
      <c r="B1274" s="1" t="s">
        <v>3069</v>
      </c>
      <c r="C1274" s="1" t="s">
        <v>339</v>
      </c>
      <c r="D1274" s="1" t="s">
        <v>340</v>
      </c>
      <c r="E1274" s="1" t="s">
        <v>677</v>
      </c>
      <c r="F1274" s="1" t="s">
        <v>342</v>
      </c>
      <c r="G1274" s="1">
        <v>100</v>
      </c>
    </row>
    <row r="1275" spans="1:7">
      <c r="A1275" s="1" t="s">
        <v>3070</v>
      </c>
      <c r="B1275" s="1" t="s">
        <v>3071</v>
      </c>
      <c r="C1275" s="1" t="s">
        <v>339</v>
      </c>
      <c r="D1275" s="1" t="s">
        <v>340</v>
      </c>
      <c r="E1275" s="1" t="s">
        <v>870</v>
      </c>
      <c r="F1275" s="1" t="s">
        <v>342</v>
      </c>
      <c r="G1275" s="1">
        <v>200</v>
      </c>
    </row>
    <row r="1276" spans="1:7">
      <c r="A1276" s="1" t="s">
        <v>3072</v>
      </c>
      <c r="B1276" s="1" t="s">
        <v>3073</v>
      </c>
      <c r="C1276" s="1" t="s">
        <v>339</v>
      </c>
      <c r="D1276" s="1" t="s">
        <v>340</v>
      </c>
      <c r="E1276" s="1" t="s">
        <v>830</v>
      </c>
      <c r="F1276" s="1" t="s">
        <v>342</v>
      </c>
      <c r="G1276" s="1">
        <v>2500</v>
      </c>
    </row>
    <row r="1277" spans="1:7">
      <c r="A1277" s="1" t="s">
        <v>3074</v>
      </c>
      <c r="B1277" s="1" t="s">
        <v>3075</v>
      </c>
      <c r="C1277" s="1" t="s">
        <v>339</v>
      </c>
      <c r="D1277" s="1" t="s">
        <v>340</v>
      </c>
      <c r="E1277" s="1" t="s">
        <v>390</v>
      </c>
      <c r="F1277" s="1" t="s">
        <v>342</v>
      </c>
      <c r="G1277" s="1">
        <v>100</v>
      </c>
    </row>
    <row r="1278" spans="1:7">
      <c r="A1278" s="1" t="s">
        <v>3076</v>
      </c>
      <c r="B1278" s="1" t="s">
        <v>2553</v>
      </c>
      <c r="C1278" s="1" t="s">
        <v>1495</v>
      </c>
      <c r="D1278" s="1" t="s">
        <v>340</v>
      </c>
      <c r="E1278" s="1" t="s">
        <v>1496</v>
      </c>
      <c r="F1278" s="1" t="s">
        <v>427</v>
      </c>
      <c r="G1278" s="1">
        <v>100</v>
      </c>
    </row>
    <row r="1279" spans="1:7">
      <c r="A1279" s="1" t="s">
        <v>3076</v>
      </c>
      <c r="B1279" s="1" t="s">
        <v>3077</v>
      </c>
      <c r="C1279" s="1" t="s">
        <v>436</v>
      </c>
      <c r="D1279" s="1" t="s">
        <v>340</v>
      </c>
      <c r="E1279" s="1" t="s">
        <v>610</v>
      </c>
      <c r="F1279" s="1" t="s">
        <v>565</v>
      </c>
      <c r="G1279" s="1">
        <v>180</v>
      </c>
    </row>
    <row r="1280" spans="1:7">
      <c r="A1280" s="1" t="s">
        <v>3078</v>
      </c>
      <c r="B1280" s="1" t="s">
        <v>3079</v>
      </c>
      <c r="C1280" s="1" t="s">
        <v>339</v>
      </c>
      <c r="D1280" s="1" t="s">
        <v>340</v>
      </c>
      <c r="E1280" s="1" t="s">
        <v>471</v>
      </c>
      <c r="F1280" s="1" t="s">
        <v>342</v>
      </c>
      <c r="G1280" s="1">
        <v>100</v>
      </c>
    </row>
    <row r="1281" spans="1:7">
      <c r="A1281" s="1" t="s">
        <v>297</v>
      </c>
      <c r="B1281" s="1" t="s">
        <v>3080</v>
      </c>
      <c r="C1281" s="1" t="s">
        <v>339</v>
      </c>
      <c r="D1281" s="1" t="s">
        <v>340</v>
      </c>
      <c r="E1281" s="1" t="s">
        <v>3081</v>
      </c>
      <c r="F1281" s="1" t="s">
        <v>342</v>
      </c>
      <c r="G1281" s="1">
        <v>2800</v>
      </c>
    </row>
    <row r="1282" spans="1:7">
      <c r="A1282" s="1" t="s">
        <v>3082</v>
      </c>
      <c r="B1282" s="1" t="s">
        <v>3083</v>
      </c>
      <c r="C1282" s="1" t="s">
        <v>339</v>
      </c>
      <c r="D1282" s="1" t="s">
        <v>340</v>
      </c>
      <c r="E1282" s="1" t="s">
        <v>480</v>
      </c>
      <c r="F1282" s="1" t="s">
        <v>342</v>
      </c>
      <c r="G1282" s="1">
        <v>218</v>
      </c>
    </row>
    <row r="1283" spans="1:7">
      <c r="A1283" s="1" t="s">
        <v>3084</v>
      </c>
      <c r="B1283" s="1" t="s">
        <v>3085</v>
      </c>
      <c r="C1283" s="1" t="s">
        <v>775</v>
      </c>
      <c r="D1283" s="1" t="s">
        <v>64</v>
      </c>
      <c r="E1283" s="1" t="s">
        <v>1396</v>
      </c>
      <c r="F1283" s="1" t="s">
        <v>775</v>
      </c>
      <c r="G1283" s="1">
        <v>362</v>
      </c>
    </row>
    <row r="1284" spans="1:7">
      <c r="A1284" s="1" t="s">
        <v>3086</v>
      </c>
      <c r="B1284" s="1" t="s">
        <v>3087</v>
      </c>
      <c r="C1284" s="1" t="s">
        <v>349</v>
      </c>
      <c r="D1284" s="1" t="s">
        <v>64</v>
      </c>
      <c r="E1284" s="1" t="s">
        <v>1983</v>
      </c>
      <c r="F1284" s="1" t="s">
        <v>351</v>
      </c>
      <c r="G1284" s="1">
        <v>125</v>
      </c>
    </row>
    <row r="1285" spans="1:7">
      <c r="A1285" s="1" t="s">
        <v>3088</v>
      </c>
      <c r="B1285" s="1" t="s">
        <v>3089</v>
      </c>
      <c r="C1285" s="1" t="s">
        <v>339</v>
      </c>
      <c r="D1285" s="1" t="s">
        <v>340</v>
      </c>
      <c r="E1285" s="1" t="s">
        <v>341</v>
      </c>
      <c r="F1285" s="1" t="s">
        <v>342</v>
      </c>
      <c r="G1285" s="1">
        <v>225</v>
      </c>
    </row>
    <row r="1286" spans="1:7">
      <c r="A1286" s="1" t="s">
        <v>3090</v>
      </c>
      <c r="B1286" s="1" t="s">
        <v>3091</v>
      </c>
      <c r="C1286" s="1" t="s">
        <v>339</v>
      </c>
      <c r="D1286" s="1" t="s">
        <v>340</v>
      </c>
      <c r="E1286" s="1" t="s">
        <v>809</v>
      </c>
      <c r="F1286" s="1" t="s">
        <v>342</v>
      </c>
      <c r="G1286" s="1">
        <v>4981</v>
      </c>
    </row>
    <row r="1287" spans="1:7">
      <c r="A1287" s="1" t="s">
        <v>3092</v>
      </c>
      <c r="B1287" s="1" t="s">
        <v>3093</v>
      </c>
      <c r="C1287" s="1" t="s">
        <v>339</v>
      </c>
      <c r="D1287" s="1" t="s">
        <v>340</v>
      </c>
      <c r="E1287" s="1" t="s">
        <v>480</v>
      </c>
      <c r="F1287" s="1" t="s">
        <v>342</v>
      </c>
      <c r="G1287" s="1">
        <v>100</v>
      </c>
    </row>
    <row r="1288" spans="1:7">
      <c r="A1288" s="1" t="s">
        <v>3094</v>
      </c>
      <c r="B1288" s="1" t="s">
        <v>3095</v>
      </c>
      <c r="C1288" s="1" t="s">
        <v>339</v>
      </c>
      <c r="D1288" s="1" t="s">
        <v>340</v>
      </c>
      <c r="E1288" s="1" t="s">
        <v>341</v>
      </c>
      <c r="F1288" s="1" t="s">
        <v>342</v>
      </c>
      <c r="G1288" s="1">
        <v>530</v>
      </c>
    </row>
    <row r="1289" spans="1:7">
      <c r="A1289" s="1" t="s">
        <v>3094</v>
      </c>
      <c r="B1289" s="1" t="s">
        <v>3096</v>
      </c>
      <c r="C1289" s="1" t="s">
        <v>467</v>
      </c>
      <c r="D1289" s="1" t="s">
        <v>64</v>
      </c>
      <c r="E1289" s="1" t="s">
        <v>468</v>
      </c>
      <c r="F1289" s="1" t="s">
        <v>351</v>
      </c>
      <c r="G1289" s="1">
        <v>800</v>
      </c>
    </row>
    <row r="1290" spans="1:7">
      <c r="A1290" s="1" t="s">
        <v>3097</v>
      </c>
      <c r="B1290" s="1" t="s">
        <v>3098</v>
      </c>
      <c r="C1290" s="1" t="s">
        <v>60</v>
      </c>
      <c r="D1290" s="1" t="s">
        <v>61</v>
      </c>
      <c r="E1290" s="1" t="s">
        <v>3099</v>
      </c>
      <c r="F1290" s="1" t="s">
        <v>357</v>
      </c>
      <c r="G1290" s="1">
        <v>3244</v>
      </c>
    </row>
    <row r="1291" spans="1:7">
      <c r="A1291" s="1" t="s">
        <v>3100</v>
      </c>
      <c r="B1291" s="1" t="s">
        <v>3101</v>
      </c>
      <c r="C1291" s="1" t="s">
        <v>339</v>
      </c>
      <c r="D1291" s="1" t="s">
        <v>340</v>
      </c>
      <c r="E1291" s="1" t="s">
        <v>613</v>
      </c>
      <c r="F1291" s="1" t="s">
        <v>342</v>
      </c>
      <c r="G1291" s="1">
        <v>450</v>
      </c>
    </row>
    <row r="1292" spans="1:7">
      <c r="A1292" s="1" t="s">
        <v>3102</v>
      </c>
      <c r="B1292" s="1" t="s">
        <v>3103</v>
      </c>
      <c r="C1292" s="1" t="s">
        <v>339</v>
      </c>
      <c r="D1292" s="1" t="s">
        <v>340</v>
      </c>
      <c r="E1292" s="1" t="s">
        <v>3104</v>
      </c>
      <c r="F1292" s="1" t="s">
        <v>357</v>
      </c>
      <c r="G1292" s="1">
        <v>5400</v>
      </c>
    </row>
    <row r="1293" spans="1:7">
      <c r="A1293" s="1" t="s">
        <v>3105</v>
      </c>
      <c r="B1293" s="1" t="s">
        <v>1914</v>
      </c>
      <c r="C1293" s="1" t="s">
        <v>775</v>
      </c>
      <c r="D1293" s="1" t="s">
        <v>64</v>
      </c>
      <c r="E1293" s="1" t="s">
        <v>1396</v>
      </c>
      <c r="F1293" s="1" t="s">
        <v>357</v>
      </c>
      <c r="G1293" s="1">
        <v>700</v>
      </c>
    </row>
    <row r="1294" spans="1:7">
      <c r="A1294" s="1" t="s">
        <v>3106</v>
      </c>
      <c r="B1294" s="1" t="s">
        <v>3107</v>
      </c>
      <c r="C1294" s="1" t="s">
        <v>339</v>
      </c>
      <c r="D1294" s="1" t="s">
        <v>340</v>
      </c>
      <c r="E1294" s="1" t="s">
        <v>341</v>
      </c>
      <c r="F1294" s="1" t="s">
        <v>342</v>
      </c>
      <c r="G1294" s="1">
        <v>350</v>
      </c>
    </row>
    <row r="1295" spans="1:7">
      <c r="A1295" s="1" t="s">
        <v>3108</v>
      </c>
      <c r="B1295" s="1" t="s">
        <v>3109</v>
      </c>
      <c r="C1295" s="1" t="s">
        <v>339</v>
      </c>
      <c r="D1295" s="1" t="s">
        <v>340</v>
      </c>
      <c r="E1295" s="1" t="s">
        <v>677</v>
      </c>
      <c r="F1295" s="1" t="s">
        <v>342</v>
      </c>
      <c r="G1295" s="1">
        <v>230</v>
      </c>
    </row>
    <row r="1296" spans="1:7">
      <c r="A1296" s="1" t="s">
        <v>3110</v>
      </c>
      <c r="B1296" s="1" t="s">
        <v>3111</v>
      </c>
      <c r="C1296" s="1" t="s">
        <v>339</v>
      </c>
      <c r="D1296" s="1" t="s">
        <v>340</v>
      </c>
      <c r="E1296" s="1" t="s">
        <v>471</v>
      </c>
      <c r="F1296" s="1" t="s">
        <v>357</v>
      </c>
      <c r="G1296" s="1">
        <v>175</v>
      </c>
    </row>
    <row r="1297" spans="1:7">
      <c r="A1297" s="1" t="s">
        <v>3112</v>
      </c>
      <c r="B1297" s="1" t="s">
        <v>3113</v>
      </c>
      <c r="C1297" s="1" t="s">
        <v>440</v>
      </c>
      <c r="D1297" s="1" t="s">
        <v>340</v>
      </c>
      <c r="E1297" s="1" t="s">
        <v>441</v>
      </c>
      <c r="F1297" s="1" t="s">
        <v>558</v>
      </c>
      <c r="G1297" s="1">
        <v>450</v>
      </c>
    </row>
    <row r="1298" spans="1:7">
      <c r="A1298" s="1" t="s">
        <v>3114</v>
      </c>
      <c r="B1298" s="1" t="s">
        <v>3115</v>
      </c>
      <c r="C1298" s="1" t="s">
        <v>339</v>
      </c>
      <c r="D1298" s="1" t="s">
        <v>340</v>
      </c>
      <c r="E1298" s="1" t="s">
        <v>384</v>
      </c>
      <c r="F1298" s="1" t="s">
        <v>342</v>
      </c>
      <c r="G1298" s="1">
        <v>1200</v>
      </c>
    </row>
    <row r="1299" spans="1:7">
      <c r="A1299" s="1" t="s">
        <v>3116</v>
      </c>
      <c r="B1299" s="1" t="s">
        <v>3117</v>
      </c>
      <c r="C1299" s="1" t="s">
        <v>412</v>
      </c>
      <c r="D1299" s="1" t="s">
        <v>340</v>
      </c>
      <c r="E1299" s="1" t="s">
        <v>586</v>
      </c>
      <c r="F1299" s="1" t="s">
        <v>414</v>
      </c>
      <c r="G1299" s="1">
        <v>179</v>
      </c>
    </row>
    <row r="1300" spans="1:7">
      <c r="A1300" s="1" t="s">
        <v>3118</v>
      </c>
      <c r="B1300" s="1" t="s">
        <v>3119</v>
      </c>
      <c r="C1300" s="1" t="s">
        <v>3120</v>
      </c>
      <c r="D1300" s="1" t="s">
        <v>64</v>
      </c>
      <c r="E1300" s="1">
        <v>29606</v>
      </c>
      <c r="F1300" s="1" t="s">
        <v>357</v>
      </c>
      <c r="G1300" s="1">
        <v>200</v>
      </c>
    </row>
    <row r="1301" spans="1:7">
      <c r="A1301" s="1" t="s">
        <v>3121</v>
      </c>
      <c r="B1301" s="1" t="s">
        <v>3122</v>
      </c>
      <c r="C1301" s="1" t="s">
        <v>339</v>
      </c>
      <c r="D1301" s="1" t="s">
        <v>340</v>
      </c>
      <c r="E1301" s="1" t="s">
        <v>480</v>
      </c>
      <c r="F1301" s="1" t="s">
        <v>342</v>
      </c>
      <c r="G1301" s="1">
        <v>150</v>
      </c>
    </row>
    <row r="1302" spans="1:7">
      <c r="A1302" s="1" t="s">
        <v>3123</v>
      </c>
      <c r="B1302" s="1" t="s">
        <v>3124</v>
      </c>
      <c r="C1302" s="1" t="s">
        <v>670</v>
      </c>
      <c r="D1302" s="1" t="s">
        <v>355</v>
      </c>
      <c r="E1302" s="1" t="s">
        <v>671</v>
      </c>
      <c r="F1302" s="1" t="s">
        <v>357</v>
      </c>
      <c r="G1302" s="1">
        <v>449</v>
      </c>
    </row>
    <row r="1303" spans="1:7">
      <c r="A1303" s="1" t="s">
        <v>3125</v>
      </c>
      <c r="B1303" s="1" t="s">
        <v>3126</v>
      </c>
      <c r="C1303" s="1" t="s">
        <v>339</v>
      </c>
      <c r="D1303" s="1" t="s">
        <v>340</v>
      </c>
      <c r="E1303" s="1" t="s">
        <v>384</v>
      </c>
      <c r="F1303" s="1" t="s">
        <v>357</v>
      </c>
      <c r="G1303" s="1">
        <v>100</v>
      </c>
    </row>
    <row r="1304" spans="1:7">
      <c r="A1304" s="1" t="s">
        <v>3127</v>
      </c>
      <c r="B1304" s="1" t="s">
        <v>3128</v>
      </c>
      <c r="C1304" s="1" t="s">
        <v>339</v>
      </c>
      <c r="D1304" s="1" t="s">
        <v>340</v>
      </c>
      <c r="E1304" s="1" t="s">
        <v>577</v>
      </c>
      <c r="F1304" s="1" t="s">
        <v>342</v>
      </c>
      <c r="G1304" s="1">
        <v>100</v>
      </c>
    </row>
    <row r="1305" spans="1:7">
      <c r="A1305" s="1" t="s">
        <v>3129</v>
      </c>
      <c r="B1305" s="1" t="s">
        <v>3130</v>
      </c>
      <c r="C1305" s="1" t="s">
        <v>339</v>
      </c>
      <c r="D1305" s="1" t="s">
        <v>340</v>
      </c>
      <c r="E1305" s="1" t="s">
        <v>830</v>
      </c>
      <c r="F1305" s="1" t="s">
        <v>342</v>
      </c>
      <c r="G1305" s="1">
        <v>130</v>
      </c>
    </row>
    <row r="1306" spans="1:7">
      <c r="A1306" s="1" t="s">
        <v>3131</v>
      </c>
      <c r="B1306" s="1" t="s">
        <v>3132</v>
      </c>
      <c r="C1306" s="1" t="s">
        <v>436</v>
      </c>
      <c r="D1306" s="1" t="s">
        <v>340</v>
      </c>
      <c r="E1306" s="1" t="s">
        <v>1190</v>
      </c>
      <c r="F1306" s="1" t="s">
        <v>565</v>
      </c>
      <c r="G1306" s="1">
        <v>150</v>
      </c>
    </row>
    <row r="1307" spans="1:7">
      <c r="A1307" s="1" t="s">
        <v>3133</v>
      </c>
      <c r="B1307" s="1" t="s">
        <v>3134</v>
      </c>
      <c r="C1307" s="1" t="s">
        <v>339</v>
      </c>
      <c r="D1307" s="1" t="s">
        <v>340</v>
      </c>
      <c r="E1307" s="1" t="s">
        <v>3135</v>
      </c>
      <c r="F1307" s="1" t="s">
        <v>357</v>
      </c>
      <c r="G1307" s="1">
        <v>20000</v>
      </c>
    </row>
    <row r="1308" spans="1:7">
      <c r="A1308" s="1" t="s">
        <v>3136</v>
      </c>
      <c r="B1308" s="1" t="s">
        <v>3137</v>
      </c>
      <c r="C1308" s="1" t="s">
        <v>339</v>
      </c>
      <c r="D1308" s="1" t="s">
        <v>340</v>
      </c>
      <c r="E1308" s="1" t="s">
        <v>2607</v>
      </c>
      <c r="F1308" s="1" t="s">
        <v>342</v>
      </c>
      <c r="G1308" s="1">
        <v>650</v>
      </c>
    </row>
    <row r="1309" spans="1:7">
      <c r="A1309" s="1" t="s">
        <v>3138</v>
      </c>
      <c r="B1309" s="1" t="s">
        <v>3139</v>
      </c>
      <c r="C1309" s="1" t="s">
        <v>524</v>
      </c>
      <c r="D1309" s="1" t="s">
        <v>340</v>
      </c>
      <c r="E1309" s="1" t="s">
        <v>525</v>
      </c>
      <c r="F1309" s="1" t="s">
        <v>526</v>
      </c>
      <c r="G1309" s="1">
        <v>250</v>
      </c>
    </row>
    <row r="1310" spans="1:7">
      <c r="A1310" s="1" t="s">
        <v>3140</v>
      </c>
      <c r="B1310" s="1" t="s">
        <v>3141</v>
      </c>
      <c r="C1310" s="1" t="s">
        <v>3142</v>
      </c>
      <c r="D1310" s="1" t="s">
        <v>3143</v>
      </c>
      <c r="E1310" s="1" t="s">
        <v>3144</v>
      </c>
      <c r="F1310" s="1" t="s">
        <v>357</v>
      </c>
      <c r="G1310" s="1">
        <v>12918</v>
      </c>
    </row>
    <row r="1311" spans="1:7">
      <c r="A1311" s="1" t="s">
        <v>3145</v>
      </c>
      <c r="B1311" s="1" t="s">
        <v>3146</v>
      </c>
      <c r="C1311" s="1" t="s">
        <v>339</v>
      </c>
      <c r="D1311" s="1" t="s">
        <v>340</v>
      </c>
      <c r="E1311" s="1" t="s">
        <v>577</v>
      </c>
      <c r="F1311" s="1" t="s">
        <v>342</v>
      </c>
      <c r="G1311" s="1">
        <v>120</v>
      </c>
    </row>
    <row r="1312" spans="1:7">
      <c r="A1312" s="1" t="s">
        <v>3147</v>
      </c>
      <c r="B1312" s="1" t="s">
        <v>3148</v>
      </c>
      <c r="C1312" s="1" t="s">
        <v>345</v>
      </c>
      <c r="D1312" s="1" t="s">
        <v>340</v>
      </c>
      <c r="E1312" s="1" t="s">
        <v>567</v>
      </c>
      <c r="F1312" s="1" t="s">
        <v>347</v>
      </c>
      <c r="G1312" s="1">
        <v>100</v>
      </c>
    </row>
    <row r="1313" spans="1:7">
      <c r="A1313" s="1" t="s">
        <v>298</v>
      </c>
      <c r="B1313" s="1" t="s">
        <v>3149</v>
      </c>
      <c r="C1313" s="1" t="s">
        <v>1334</v>
      </c>
      <c r="D1313" s="1" t="s">
        <v>340</v>
      </c>
      <c r="E1313" s="1" t="s">
        <v>1800</v>
      </c>
      <c r="F1313" s="1" t="s">
        <v>342</v>
      </c>
      <c r="G1313" s="1">
        <v>100</v>
      </c>
    </row>
    <row r="1314" spans="1:7">
      <c r="A1314" s="1" t="s">
        <v>3150</v>
      </c>
      <c r="B1314" s="1" t="s">
        <v>3151</v>
      </c>
      <c r="C1314" s="1" t="s">
        <v>339</v>
      </c>
      <c r="D1314" s="1" t="s">
        <v>340</v>
      </c>
      <c r="E1314" s="1" t="s">
        <v>1155</v>
      </c>
      <c r="F1314" s="1" t="s">
        <v>342</v>
      </c>
      <c r="G1314" s="1">
        <v>100</v>
      </c>
    </row>
    <row r="1315" spans="1:7">
      <c r="A1315" s="1" t="s">
        <v>3152</v>
      </c>
      <c r="B1315" s="1" t="s">
        <v>3153</v>
      </c>
      <c r="C1315" s="1" t="s">
        <v>339</v>
      </c>
      <c r="D1315" s="1" t="s">
        <v>340</v>
      </c>
      <c r="E1315" s="1" t="s">
        <v>384</v>
      </c>
      <c r="F1315" s="1" t="s">
        <v>342</v>
      </c>
      <c r="G1315" s="1">
        <v>170</v>
      </c>
    </row>
    <row r="1316" spans="1:7">
      <c r="A1316" s="1" t="s">
        <v>3154</v>
      </c>
      <c r="B1316" s="1" t="s">
        <v>3155</v>
      </c>
      <c r="C1316" s="1" t="s">
        <v>339</v>
      </c>
      <c r="D1316" s="1" t="s">
        <v>340</v>
      </c>
      <c r="E1316" s="1" t="s">
        <v>480</v>
      </c>
      <c r="F1316" s="1" t="s">
        <v>342</v>
      </c>
      <c r="G1316" s="1">
        <v>180</v>
      </c>
    </row>
    <row r="1317" spans="1:7">
      <c r="A1317" s="1" t="s">
        <v>3156</v>
      </c>
      <c r="B1317" s="1" t="s">
        <v>3157</v>
      </c>
      <c r="C1317" s="1" t="s">
        <v>339</v>
      </c>
      <c r="D1317" s="1" t="s">
        <v>340</v>
      </c>
      <c r="E1317" s="1" t="s">
        <v>457</v>
      </c>
      <c r="F1317" s="1" t="s">
        <v>342</v>
      </c>
      <c r="G1317" s="1">
        <v>144</v>
      </c>
    </row>
    <row r="1318" spans="1:7">
      <c r="A1318" s="1" t="s">
        <v>3158</v>
      </c>
      <c r="B1318" s="1" t="s">
        <v>3159</v>
      </c>
      <c r="C1318" s="1" t="s">
        <v>467</v>
      </c>
      <c r="D1318" s="1" t="s">
        <v>64</v>
      </c>
      <c r="E1318" s="1" t="s">
        <v>468</v>
      </c>
      <c r="F1318" s="1" t="s">
        <v>351</v>
      </c>
      <c r="G1318" s="1">
        <v>130</v>
      </c>
    </row>
    <row r="1319" spans="1:7">
      <c r="A1319" s="1" t="s">
        <v>3160</v>
      </c>
      <c r="B1319" s="1" t="s">
        <v>3161</v>
      </c>
      <c r="C1319" s="1" t="s">
        <v>467</v>
      </c>
      <c r="D1319" s="1" t="s">
        <v>64</v>
      </c>
      <c r="E1319" s="1" t="s">
        <v>468</v>
      </c>
      <c r="F1319" s="1" t="s">
        <v>351</v>
      </c>
      <c r="G1319" s="1">
        <v>1800</v>
      </c>
    </row>
    <row r="1320" spans="1:7">
      <c r="A1320" s="1" t="s">
        <v>3162</v>
      </c>
      <c r="B1320" s="1" t="s">
        <v>3163</v>
      </c>
      <c r="C1320" s="1" t="s">
        <v>440</v>
      </c>
      <c r="D1320" s="1" t="s">
        <v>340</v>
      </c>
      <c r="E1320" s="1" t="s">
        <v>441</v>
      </c>
      <c r="F1320" s="1" t="s">
        <v>558</v>
      </c>
      <c r="G1320" s="1">
        <v>300</v>
      </c>
    </row>
    <row r="1321" spans="1:7">
      <c r="A1321" s="1" t="s">
        <v>3164</v>
      </c>
      <c r="B1321" s="1" t="s">
        <v>3165</v>
      </c>
      <c r="C1321" s="1" t="s">
        <v>349</v>
      </c>
      <c r="D1321" s="1" t="s">
        <v>64</v>
      </c>
      <c r="E1321" s="1" t="s">
        <v>350</v>
      </c>
      <c r="F1321" s="1" t="s">
        <v>351</v>
      </c>
      <c r="G1321" s="1">
        <v>285</v>
      </c>
    </row>
    <row r="1322" spans="1:7">
      <c r="A1322" s="1" t="s">
        <v>3166</v>
      </c>
      <c r="B1322" s="1" t="s">
        <v>3167</v>
      </c>
      <c r="C1322" s="1" t="s">
        <v>666</v>
      </c>
      <c r="D1322" s="1" t="s">
        <v>340</v>
      </c>
      <c r="E1322" s="1" t="s">
        <v>667</v>
      </c>
      <c r="F1322" s="1" t="s">
        <v>558</v>
      </c>
      <c r="G1322" s="1">
        <v>155</v>
      </c>
    </row>
    <row r="1323" spans="1:7">
      <c r="A1323" s="1" t="s">
        <v>3166</v>
      </c>
      <c r="B1323" s="1" t="s">
        <v>3168</v>
      </c>
      <c r="C1323" s="1" t="s">
        <v>339</v>
      </c>
      <c r="D1323" s="1" t="s">
        <v>340</v>
      </c>
      <c r="E1323" s="1" t="s">
        <v>480</v>
      </c>
      <c r="F1323" s="1" t="s">
        <v>357</v>
      </c>
      <c r="G1323" s="1">
        <v>1061</v>
      </c>
    </row>
    <row r="1324" spans="1:7">
      <c r="A1324" s="1" t="s">
        <v>3169</v>
      </c>
      <c r="B1324" s="1" t="s">
        <v>3170</v>
      </c>
      <c r="C1324" s="1" t="s">
        <v>436</v>
      </c>
      <c r="D1324" s="1" t="s">
        <v>340</v>
      </c>
      <c r="E1324" s="1" t="s">
        <v>610</v>
      </c>
      <c r="F1324" s="1" t="s">
        <v>565</v>
      </c>
      <c r="G1324" s="1">
        <v>2007</v>
      </c>
    </row>
    <row r="1325" spans="1:7">
      <c r="A1325" s="1" t="s">
        <v>3171</v>
      </c>
      <c r="B1325" s="1" t="s">
        <v>3172</v>
      </c>
      <c r="C1325" s="1" t="s">
        <v>467</v>
      </c>
      <c r="D1325" s="1" t="s">
        <v>64</v>
      </c>
      <c r="E1325" s="1" t="s">
        <v>468</v>
      </c>
      <c r="F1325" s="1" t="s">
        <v>351</v>
      </c>
      <c r="G1325" s="1">
        <v>200</v>
      </c>
    </row>
    <row r="1326" spans="1:7">
      <c r="A1326" s="1" t="s">
        <v>3173</v>
      </c>
      <c r="B1326" s="1" t="s">
        <v>3174</v>
      </c>
      <c r="C1326" s="1" t="s">
        <v>339</v>
      </c>
      <c r="D1326" s="1" t="s">
        <v>340</v>
      </c>
      <c r="E1326" s="1" t="s">
        <v>341</v>
      </c>
      <c r="F1326" s="1" t="s">
        <v>342</v>
      </c>
      <c r="G1326" s="1">
        <v>400</v>
      </c>
    </row>
    <row r="1327" spans="1:7">
      <c r="A1327" s="1" t="s">
        <v>3175</v>
      </c>
      <c r="B1327" s="1" t="s">
        <v>3176</v>
      </c>
      <c r="C1327" s="1" t="s">
        <v>362</v>
      </c>
      <c r="D1327" s="1" t="s">
        <v>340</v>
      </c>
      <c r="E1327" s="1" t="s">
        <v>430</v>
      </c>
      <c r="F1327" s="1" t="s">
        <v>364</v>
      </c>
      <c r="G1327" s="1">
        <v>145</v>
      </c>
    </row>
    <row r="1328" spans="1:7">
      <c r="A1328" s="1" t="s">
        <v>3177</v>
      </c>
      <c r="B1328" s="1" t="s">
        <v>3178</v>
      </c>
      <c r="C1328" s="1" t="s">
        <v>349</v>
      </c>
      <c r="D1328" s="1" t="s">
        <v>64</v>
      </c>
      <c r="E1328" s="1" t="s">
        <v>1145</v>
      </c>
      <c r="F1328" s="1" t="s">
        <v>351</v>
      </c>
      <c r="G1328" s="1">
        <v>175</v>
      </c>
    </row>
    <row r="1329" spans="1:7">
      <c r="A1329" s="1" t="s">
        <v>3179</v>
      </c>
      <c r="B1329" s="1" t="s">
        <v>3180</v>
      </c>
      <c r="C1329" s="1" t="s">
        <v>339</v>
      </c>
      <c r="D1329" s="1" t="s">
        <v>340</v>
      </c>
      <c r="E1329" s="1" t="s">
        <v>457</v>
      </c>
      <c r="F1329" s="1" t="s">
        <v>342</v>
      </c>
      <c r="G1329" s="1">
        <v>110</v>
      </c>
    </row>
    <row r="1330" spans="1:7">
      <c r="A1330" s="1" t="s">
        <v>3181</v>
      </c>
      <c r="B1330" s="1" t="s">
        <v>3182</v>
      </c>
      <c r="C1330" s="1" t="s">
        <v>339</v>
      </c>
      <c r="D1330" s="1" t="s">
        <v>340</v>
      </c>
      <c r="E1330" s="1" t="s">
        <v>341</v>
      </c>
      <c r="F1330" s="1" t="s">
        <v>342</v>
      </c>
      <c r="G1330" s="1">
        <v>182</v>
      </c>
    </row>
    <row r="1331" spans="1:7">
      <c r="A1331" s="1" t="s">
        <v>3183</v>
      </c>
      <c r="B1331" s="1" t="s">
        <v>3184</v>
      </c>
      <c r="C1331" s="1" t="s">
        <v>723</v>
      </c>
      <c r="D1331" s="1" t="s">
        <v>340</v>
      </c>
      <c r="E1331" s="1" t="s">
        <v>724</v>
      </c>
      <c r="F1331" s="1" t="s">
        <v>364</v>
      </c>
      <c r="G1331" s="1">
        <v>350</v>
      </c>
    </row>
    <row r="1332" spans="1:7">
      <c r="A1332" s="1" t="s">
        <v>3185</v>
      </c>
      <c r="B1332" s="1" t="s">
        <v>3186</v>
      </c>
      <c r="C1332" s="1" t="s">
        <v>412</v>
      </c>
      <c r="D1332" s="1" t="s">
        <v>340</v>
      </c>
      <c r="E1332" s="1" t="s">
        <v>413</v>
      </c>
      <c r="F1332" s="1" t="s">
        <v>414</v>
      </c>
      <c r="G1332" s="1">
        <v>300</v>
      </c>
    </row>
    <row r="1333" spans="1:7">
      <c r="A1333" s="1" t="s">
        <v>3187</v>
      </c>
      <c r="B1333" s="1" t="s">
        <v>3188</v>
      </c>
      <c r="C1333" s="1" t="s">
        <v>3189</v>
      </c>
      <c r="D1333" s="1" t="s">
        <v>340</v>
      </c>
      <c r="E1333" s="1" t="s">
        <v>3190</v>
      </c>
      <c r="F1333" s="1" t="s">
        <v>414</v>
      </c>
      <c r="G1333" s="1">
        <v>326</v>
      </c>
    </row>
    <row r="1334" spans="1:7">
      <c r="A1334" s="1" t="s">
        <v>3191</v>
      </c>
      <c r="B1334" s="1" t="s">
        <v>3192</v>
      </c>
      <c r="C1334" s="1" t="s">
        <v>349</v>
      </c>
      <c r="D1334" s="1" t="s">
        <v>64</v>
      </c>
      <c r="E1334" s="1" t="s">
        <v>3193</v>
      </c>
      <c r="F1334" s="1" t="s">
        <v>351</v>
      </c>
      <c r="G1334" s="1">
        <v>775</v>
      </c>
    </row>
    <row r="1335" spans="1:7">
      <c r="A1335" s="1" t="s">
        <v>3194</v>
      </c>
      <c r="B1335" s="1" t="s">
        <v>3195</v>
      </c>
      <c r="C1335" s="1" t="s">
        <v>89</v>
      </c>
      <c r="D1335" s="1" t="s">
        <v>340</v>
      </c>
      <c r="E1335" s="1" t="s">
        <v>1021</v>
      </c>
      <c r="F1335" s="1" t="s">
        <v>381</v>
      </c>
      <c r="G1335" s="1">
        <v>150</v>
      </c>
    </row>
    <row r="1336" spans="1:7">
      <c r="A1336" s="1" t="s">
        <v>299</v>
      </c>
      <c r="B1336" s="1" t="s">
        <v>3196</v>
      </c>
      <c r="C1336" s="1" t="s">
        <v>339</v>
      </c>
      <c r="D1336" s="1" t="s">
        <v>340</v>
      </c>
      <c r="E1336" s="1" t="s">
        <v>457</v>
      </c>
      <c r="F1336" s="1" t="s">
        <v>357</v>
      </c>
      <c r="G1336" s="1">
        <v>110</v>
      </c>
    </row>
    <row r="1337" spans="1:7">
      <c r="A1337" s="1" t="s">
        <v>3197</v>
      </c>
      <c r="B1337" s="1" t="s">
        <v>3198</v>
      </c>
      <c r="C1337" s="1" t="s">
        <v>339</v>
      </c>
      <c r="D1337" s="1" t="s">
        <v>340</v>
      </c>
      <c r="E1337" s="1" t="s">
        <v>677</v>
      </c>
      <c r="F1337" s="1" t="s">
        <v>342</v>
      </c>
      <c r="G1337" s="1">
        <v>126</v>
      </c>
    </row>
    <row r="1338" spans="1:7">
      <c r="A1338" s="1" t="s">
        <v>3199</v>
      </c>
      <c r="B1338" s="1" t="s">
        <v>3200</v>
      </c>
      <c r="C1338" s="1" t="s">
        <v>339</v>
      </c>
      <c r="D1338" s="1" t="s">
        <v>340</v>
      </c>
      <c r="E1338" s="1" t="s">
        <v>1303</v>
      </c>
      <c r="F1338" s="1" t="s">
        <v>342</v>
      </c>
      <c r="G1338" s="1">
        <v>140</v>
      </c>
    </row>
    <row r="1339" spans="1:7">
      <c r="A1339" s="1" t="s">
        <v>3201</v>
      </c>
      <c r="B1339" s="1" t="s">
        <v>1355</v>
      </c>
      <c r="C1339" s="1" t="s">
        <v>349</v>
      </c>
      <c r="D1339" s="1" t="s">
        <v>64</v>
      </c>
      <c r="E1339" s="1" t="s">
        <v>350</v>
      </c>
      <c r="F1339" s="1" t="s">
        <v>351</v>
      </c>
      <c r="G1339" s="1">
        <v>100</v>
      </c>
    </row>
    <row r="1340" spans="1:7">
      <c r="A1340" s="1" t="s">
        <v>3202</v>
      </c>
      <c r="B1340" s="1" t="s">
        <v>3203</v>
      </c>
      <c r="C1340" s="1" t="s">
        <v>339</v>
      </c>
      <c r="D1340" s="1" t="s">
        <v>340</v>
      </c>
      <c r="E1340" s="1" t="s">
        <v>373</v>
      </c>
      <c r="F1340" s="1" t="s">
        <v>342</v>
      </c>
      <c r="G1340" s="1">
        <v>150</v>
      </c>
    </row>
    <row r="1341" spans="1:7">
      <c r="A1341" s="1" t="s">
        <v>3204</v>
      </c>
      <c r="B1341" s="1" t="s">
        <v>3205</v>
      </c>
      <c r="C1341" s="1" t="s">
        <v>339</v>
      </c>
      <c r="D1341" s="1" t="s">
        <v>340</v>
      </c>
      <c r="E1341" s="1" t="s">
        <v>404</v>
      </c>
      <c r="F1341" s="1" t="s">
        <v>342</v>
      </c>
      <c r="G1341" s="1">
        <v>100</v>
      </c>
    </row>
    <row r="1342" spans="1:7">
      <c r="A1342" s="1" t="s">
        <v>3206</v>
      </c>
      <c r="B1342" s="1" t="s">
        <v>3207</v>
      </c>
      <c r="C1342" s="1" t="s">
        <v>339</v>
      </c>
      <c r="D1342" s="1" t="s">
        <v>340</v>
      </c>
      <c r="E1342" s="1" t="s">
        <v>577</v>
      </c>
      <c r="F1342" s="1" t="s">
        <v>342</v>
      </c>
      <c r="G1342" s="1">
        <v>200</v>
      </c>
    </row>
    <row r="1343" spans="1:7">
      <c r="A1343" s="1" t="s">
        <v>300</v>
      </c>
      <c r="B1343" s="1" t="s">
        <v>3208</v>
      </c>
      <c r="C1343" s="1" t="s">
        <v>339</v>
      </c>
      <c r="D1343" s="1" t="s">
        <v>340</v>
      </c>
      <c r="E1343" s="1" t="s">
        <v>341</v>
      </c>
      <c r="F1343" s="1" t="s">
        <v>342</v>
      </c>
      <c r="G1343" s="1">
        <v>100</v>
      </c>
    </row>
    <row r="1344" spans="1:7">
      <c r="A1344" s="1" t="s">
        <v>3209</v>
      </c>
      <c r="B1344" s="1" t="s">
        <v>3210</v>
      </c>
      <c r="C1344" s="1" t="s">
        <v>412</v>
      </c>
      <c r="D1344" s="1" t="s">
        <v>340</v>
      </c>
      <c r="E1344" s="1" t="s">
        <v>413</v>
      </c>
      <c r="F1344" s="1" t="s">
        <v>414</v>
      </c>
      <c r="G1344" s="1">
        <v>140</v>
      </c>
    </row>
    <row r="1345" spans="1:7">
      <c r="A1345" s="1" t="s">
        <v>3211</v>
      </c>
      <c r="B1345" s="1" t="s">
        <v>3212</v>
      </c>
      <c r="C1345" s="1" t="s">
        <v>339</v>
      </c>
      <c r="D1345" s="1" t="s">
        <v>340</v>
      </c>
      <c r="E1345" s="1" t="s">
        <v>341</v>
      </c>
      <c r="F1345" s="1" t="s">
        <v>342</v>
      </c>
      <c r="G1345" s="1">
        <v>850</v>
      </c>
    </row>
    <row r="1346" spans="1:7">
      <c r="A1346" s="1" t="s">
        <v>301</v>
      </c>
      <c r="B1346" s="1" t="s">
        <v>3213</v>
      </c>
      <c r="C1346" s="1" t="s">
        <v>440</v>
      </c>
      <c r="D1346" s="1" t="s">
        <v>340</v>
      </c>
      <c r="E1346" s="1" t="s">
        <v>441</v>
      </c>
      <c r="F1346" s="1" t="s">
        <v>558</v>
      </c>
      <c r="G1346" s="1">
        <v>350</v>
      </c>
    </row>
    <row r="1347" spans="1:7">
      <c r="A1347" s="1" t="s">
        <v>3214</v>
      </c>
      <c r="B1347" s="1" t="s">
        <v>3215</v>
      </c>
      <c r="C1347" s="1" t="s">
        <v>339</v>
      </c>
      <c r="D1347" s="1" t="s">
        <v>340</v>
      </c>
      <c r="E1347" s="1" t="s">
        <v>677</v>
      </c>
      <c r="F1347" s="1" t="s">
        <v>342</v>
      </c>
      <c r="G1347" s="1">
        <v>2000</v>
      </c>
    </row>
    <row r="1348" spans="1:7">
      <c r="A1348" s="1" t="s">
        <v>3216</v>
      </c>
      <c r="B1348" s="1" t="s">
        <v>3217</v>
      </c>
      <c r="C1348" s="1" t="s">
        <v>362</v>
      </c>
      <c r="D1348" s="1" t="s">
        <v>340</v>
      </c>
      <c r="E1348" s="1" t="s">
        <v>518</v>
      </c>
      <c r="F1348" s="1" t="s">
        <v>364</v>
      </c>
      <c r="G1348" s="1">
        <v>160</v>
      </c>
    </row>
    <row r="1349" spans="1:7">
      <c r="A1349" s="1" t="s">
        <v>3218</v>
      </c>
      <c r="B1349" s="1" t="s">
        <v>1601</v>
      </c>
      <c r="C1349" s="1" t="s">
        <v>351</v>
      </c>
      <c r="D1349" s="1" t="s">
        <v>64</v>
      </c>
      <c r="E1349" s="1" t="s">
        <v>490</v>
      </c>
      <c r="F1349" s="1" t="s">
        <v>351</v>
      </c>
      <c r="G1349" s="1">
        <v>850</v>
      </c>
    </row>
    <row r="1350" spans="1:7">
      <c r="A1350" s="1" t="s">
        <v>3219</v>
      </c>
      <c r="B1350" s="1" t="s">
        <v>3220</v>
      </c>
      <c r="C1350" s="1" t="s">
        <v>349</v>
      </c>
      <c r="D1350" s="1" t="s">
        <v>64</v>
      </c>
      <c r="E1350" s="1" t="s">
        <v>1145</v>
      </c>
      <c r="F1350" s="1" t="s">
        <v>351</v>
      </c>
      <c r="G1350" s="1">
        <v>270</v>
      </c>
    </row>
    <row r="1351" spans="1:7">
      <c r="A1351" s="1" t="s">
        <v>3221</v>
      </c>
      <c r="B1351" s="1" t="s">
        <v>1579</v>
      </c>
      <c r="C1351" s="1" t="s">
        <v>351</v>
      </c>
      <c r="D1351" s="1" t="s">
        <v>64</v>
      </c>
      <c r="E1351" s="1" t="s">
        <v>490</v>
      </c>
      <c r="F1351" s="1" t="s">
        <v>351</v>
      </c>
      <c r="G1351" s="1">
        <v>100</v>
      </c>
    </row>
    <row r="1352" spans="1:7">
      <c r="A1352" s="1" t="s">
        <v>3222</v>
      </c>
      <c r="B1352" s="1" t="s">
        <v>3223</v>
      </c>
      <c r="C1352" s="1" t="s">
        <v>467</v>
      </c>
      <c r="D1352" s="1" t="s">
        <v>64</v>
      </c>
      <c r="E1352" s="1" t="s">
        <v>468</v>
      </c>
      <c r="F1352" s="1" t="s">
        <v>351</v>
      </c>
      <c r="G1352" s="1">
        <v>1128</v>
      </c>
    </row>
    <row r="1353" spans="1:7">
      <c r="A1353" s="1" t="s">
        <v>3224</v>
      </c>
      <c r="B1353" s="1" t="s">
        <v>3225</v>
      </c>
      <c r="C1353" s="1" t="s">
        <v>351</v>
      </c>
      <c r="D1353" s="1" t="s">
        <v>64</v>
      </c>
      <c r="E1353" s="1" t="s">
        <v>490</v>
      </c>
      <c r="F1353" s="1" t="s">
        <v>351</v>
      </c>
      <c r="G1353" s="1">
        <v>712</v>
      </c>
    </row>
    <row r="1354" spans="1:7">
      <c r="A1354" s="1" t="s">
        <v>3226</v>
      </c>
      <c r="B1354" s="1" t="s">
        <v>3227</v>
      </c>
      <c r="C1354" s="1" t="s">
        <v>349</v>
      </c>
      <c r="D1354" s="1" t="s">
        <v>64</v>
      </c>
      <c r="E1354" s="1" t="s">
        <v>1145</v>
      </c>
      <c r="F1354" s="1" t="s">
        <v>351</v>
      </c>
      <c r="G1354" s="1">
        <v>1500</v>
      </c>
    </row>
    <row r="1355" spans="1:7">
      <c r="A1355" s="1" t="s">
        <v>3228</v>
      </c>
      <c r="B1355" s="1" t="s">
        <v>3229</v>
      </c>
      <c r="C1355" s="1" t="s">
        <v>349</v>
      </c>
      <c r="D1355" s="1" t="s">
        <v>64</v>
      </c>
      <c r="E1355" s="1" t="s">
        <v>350</v>
      </c>
      <c r="F1355" s="1" t="s">
        <v>351</v>
      </c>
      <c r="G1355" s="1">
        <v>375</v>
      </c>
    </row>
    <row r="1356" spans="1:7">
      <c r="A1356" s="1" t="s">
        <v>3230</v>
      </c>
      <c r="B1356" s="1" t="s">
        <v>3231</v>
      </c>
      <c r="C1356" s="1" t="s">
        <v>339</v>
      </c>
      <c r="D1356" s="1" t="s">
        <v>340</v>
      </c>
      <c r="E1356" s="1" t="s">
        <v>674</v>
      </c>
      <c r="F1356" s="1" t="s">
        <v>342</v>
      </c>
      <c r="G1356" s="1">
        <v>150</v>
      </c>
    </row>
    <row r="1357" spans="1:7">
      <c r="A1357" s="1" t="s">
        <v>302</v>
      </c>
      <c r="B1357" s="1" t="s">
        <v>3232</v>
      </c>
      <c r="C1357" s="1" t="s">
        <v>2353</v>
      </c>
      <c r="D1357" s="1" t="s">
        <v>2354</v>
      </c>
      <c r="E1357" s="1" t="s">
        <v>3233</v>
      </c>
      <c r="F1357" s="1" t="s">
        <v>357</v>
      </c>
      <c r="G1357" s="1">
        <v>1034</v>
      </c>
    </row>
    <row r="1358" spans="1:7">
      <c r="A1358" s="1" t="s">
        <v>3234</v>
      </c>
      <c r="B1358" s="1" t="s">
        <v>3235</v>
      </c>
      <c r="C1358" s="1" t="s">
        <v>339</v>
      </c>
      <c r="D1358" s="1" t="s">
        <v>340</v>
      </c>
      <c r="E1358" s="1" t="s">
        <v>577</v>
      </c>
      <c r="F1358" s="1" t="s">
        <v>342</v>
      </c>
      <c r="G1358" s="1">
        <v>141</v>
      </c>
    </row>
    <row r="1359" spans="1:7">
      <c r="A1359" s="1" t="s">
        <v>3236</v>
      </c>
      <c r="B1359" s="1" t="s">
        <v>3237</v>
      </c>
      <c r="C1359" s="1" t="s">
        <v>3238</v>
      </c>
      <c r="D1359" s="1" t="s">
        <v>1080</v>
      </c>
      <c r="E1359" s="1" t="s">
        <v>3239</v>
      </c>
      <c r="F1359" s="1" t="s">
        <v>357</v>
      </c>
      <c r="G1359" s="1">
        <v>480</v>
      </c>
    </row>
    <row r="1360" spans="1:7">
      <c r="A1360" s="1" t="s">
        <v>303</v>
      </c>
      <c r="B1360" s="1" t="s">
        <v>3240</v>
      </c>
      <c r="C1360" s="1" t="s">
        <v>556</v>
      </c>
      <c r="D1360" s="1" t="s">
        <v>340</v>
      </c>
      <c r="E1360" s="1" t="s">
        <v>557</v>
      </c>
      <c r="F1360" s="1" t="s">
        <v>558</v>
      </c>
      <c r="G1360" s="1">
        <v>150</v>
      </c>
    </row>
    <row r="1361" spans="1:7">
      <c r="A1361" s="1" t="s">
        <v>3241</v>
      </c>
      <c r="B1361" s="1" t="s">
        <v>1090</v>
      </c>
      <c r="C1361" s="1" t="s">
        <v>775</v>
      </c>
      <c r="D1361" s="1" t="s">
        <v>64</v>
      </c>
      <c r="E1361" s="1" t="s">
        <v>1396</v>
      </c>
      <c r="F1361" s="1" t="s">
        <v>775</v>
      </c>
      <c r="G1361" s="1">
        <v>200</v>
      </c>
    </row>
    <row r="1362" spans="1:7">
      <c r="A1362" s="1" t="s">
        <v>3242</v>
      </c>
      <c r="B1362" s="1" t="s">
        <v>3243</v>
      </c>
      <c r="C1362" s="1" t="s">
        <v>362</v>
      </c>
      <c r="D1362" s="1" t="s">
        <v>340</v>
      </c>
      <c r="E1362" s="1" t="s">
        <v>430</v>
      </c>
      <c r="F1362" s="1" t="s">
        <v>364</v>
      </c>
      <c r="G1362" s="1">
        <v>161</v>
      </c>
    </row>
  </sheetData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3F984DE-50CF-4FB6-98B1-0B812959D2F5}">
  <ds:schemaRefs/>
</ds:datastoreItem>
</file>

<file path=customXml/itemProps2.xml><?xml version="1.0" encoding="utf-8"?>
<ds:datastoreItem xmlns:ds="http://schemas.openxmlformats.org/officeDocument/2006/customXml" ds:itemID="{866C7AA8-3EA4-4A8B-A217-25190FAB08FE}">
  <ds:schemaRefs/>
</ds:datastoreItem>
</file>

<file path=customXml/itemProps3.xml><?xml version="1.0" encoding="utf-8"?>
<ds:datastoreItem xmlns:ds="http://schemas.openxmlformats.org/officeDocument/2006/customXml" ds:itemID="{209A7ED3-C29F-470F-A090-484C0C1BC96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TextFunctions</vt:lpstr>
      <vt:lpstr>TextToColumns</vt:lpstr>
      <vt:lpstr>RemoveDuplicates</vt:lpstr>
      <vt:lpstr>IF_And_Or</vt:lpstr>
      <vt:lpstr>Conditional Formatting</vt:lpstr>
      <vt:lpstr>Lookups</vt:lpstr>
      <vt:lpstr>Index Match</vt:lpstr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USER</cp:lastModifiedBy>
  <dcterms:created xsi:type="dcterms:W3CDTF">2010-02-13T23:19:00Z</dcterms:created>
  <dcterms:modified xsi:type="dcterms:W3CDTF">2025-03-05T15:25:58Z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E941E15BE5E64B789682987C15A947CB_12</vt:lpwstr>
  </property>
  <property fmtid="{D5CDD505-2E9C-101B-9397-08002B2CF9AE}" pid="3" name="KSOProductBuildVer">
    <vt:lpwstr>1033-12.2.0.20323</vt:lpwstr>
  </property>
</Properties>
</file>