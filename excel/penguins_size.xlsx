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 firstSheet="1" activeTab="1"/>
  </bookViews>
  <sheets>
    <sheet name="penguins_size_OG" sheetId="1" r:id="rId1"/>
    <sheet name="penguins_alt" sheetId="2" r:id="rId2"/>
    <sheet name="Sheet4" sheetId="5" r:id="rId3"/>
    <sheet name="pivots" sheetId="3" r:id="rId4"/>
    <sheet name="dashboard" sheetId="4" r:id="rId5"/>
  </sheets>
  <definedNames>
    <definedName name="Slicer_sex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<sst xmlns="http://schemas.openxmlformats.org/spreadsheetml/2006/main" count="2277" uniqueCount="26">
  <si>
    <t>species</t>
  </si>
  <si>
    <t>island</t>
  </si>
  <si>
    <t>culmen_length_mm</t>
  </si>
  <si>
    <t>culmen_depth_mm</t>
  </si>
  <si>
    <t>flipper_length_mm</t>
  </si>
  <si>
    <t>body_mass_g</t>
  </si>
  <si>
    <t>sex</t>
  </si>
  <si>
    <t>Adelie</t>
  </si>
  <si>
    <t>Torgersen</t>
  </si>
  <si>
    <t>MALE</t>
  </si>
  <si>
    <t>FEMALE</t>
  </si>
  <si>
    <t>NA</t>
  </si>
  <si>
    <t>Biscoe</t>
  </si>
  <si>
    <t>Dream</t>
  </si>
  <si>
    <t>Chinstrap</t>
  </si>
  <si>
    <t>Gentoo</t>
  </si>
  <si>
    <t>.</t>
  </si>
  <si>
    <t>body_mass_kg</t>
  </si>
  <si>
    <t xml:space="preserve">sex_class </t>
  </si>
  <si>
    <t>Male</t>
  </si>
  <si>
    <t>Count of species</t>
  </si>
  <si>
    <t>Count of island</t>
  </si>
  <si>
    <t>Grand Total</t>
  </si>
  <si>
    <t>Average of flipper_length_mm</t>
  </si>
  <si>
    <t>Female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</si>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</sst>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[penguins_size.xlsx]pivots!island_div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pivots!$E$9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pivots!$D$10:$D$13</c:f>
              <c:strCache>
                <c:ptCount val="3"/>
                <c:pt idx="0">
                  <c:v>Adelie</c:v>
                </c:pt>
                <c:pt idx="1">
                  <c:v>Gentoo</c:v>
                </c:pt>
                <c:pt idx="2">
                  <c:v>Chinstrap</c:v>
                </c:pt>
              </c:strCache>
            </c:strRef>
          </c:cat>
          <c:val>
            <c:numRef>
              <c:f>pivots!$E$10:$E$13</c:f>
              <c:numCache>
                <c:formatCode>General</c:formatCode>
                <c:ptCount val="3"/>
                <c:pt idx="0">
                  <c:v>152</c:v>
                </c:pt>
                <c:pt idx="1">
                  <c:v>124</c:v>
                </c:pt>
                <c:pt idx="2">
                  <c:v>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22993057"/>
        <c:axId val="425452072"/>
      </c:barChart>
      <c:catAx>
        <c:axId val="42299305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5452072"/>
        <c:crosses val="autoZero"/>
        <c:auto val="1"/>
        <c:lblAlgn val="ctr"/>
        <c:lblOffset val="100"/>
        <c:noMultiLvlLbl val="0"/>
      </c:catAx>
      <c:valAx>
        <c:axId val="42545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299305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bc88139-51d4-4b23-8408-ec0189cdf5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[penguins_size.xlsx]pivots!species_div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pivots!$E$18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pivots!$D$19:$D$22</c:f>
              <c:strCache>
                <c:ptCount val="3"/>
                <c:pt idx="0">
                  <c:v>Torgersen</c:v>
                </c:pt>
                <c:pt idx="1">
                  <c:v>Biscoe</c:v>
                </c:pt>
                <c:pt idx="2">
                  <c:v>Dream</c:v>
                </c:pt>
              </c:strCache>
            </c:strRef>
          </c:cat>
          <c:val>
            <c:numRef>
              <c:f>pivots!$E$19:$E$22</c:f>
              <c:numCache>
                <c:formatCode>General</c:formatCode>
                <c:ptCount val="3"/>
                <c:pt idx="0">
                  <c:v>52</c:v>
                </c:pt>
                <c:pt idx="1">
                  <c:v>168</c:v>
                </c:pt>
                <c:pt idx="2">
                  <c:v>124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89de59c-e80a-42e4-8dfa-6b7ac23906b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[penguins_size.xlsx]pivots!PivotTable5</c:name>
    <c:fmtId val="4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pivots!$E$25:$E$26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1"/>
                    </a:gs>
                    <a:gs pos="0">
                      <a:schemeClr val="accent1">
                        <a:hueOff val="-1670000"/>
                      </a:schemeClr>
                    </a:gs>
                  </a:gsLst>
                  <a:lin ang="0" scaled="1"/>
                </a:gradFill>
              </a:ln>
              <a:effectLst/>
            </c:spPr>
          </c:marker>
          <c:dLbls>
            <c:delete val="1"/>
          </c:dLbls>
          <c:cat>
            <c:strRef>
              <c:f>pivots!$D$27:$D$30</c:f>
              <c:strCache>
                <c:ptCount val="3"/>
                <c:pt idx="0">
                  <c:v>Adelie</c:v>
                </c:pt>
                <c:pt idx="1">
                  <c:v>Chinstrap</c:v>
                </c:pt>
                <c:pt idx="2">
                  <c:v>Gentoo</c:v>
                </c:pt>
              </c:strCache>
            </c:strRef>
          </c:cat>
          <c:val>
            <c:numRef>
              <c:f>pivots!$E$27:$E$30</c:f>
              <c:numCache>
                <c:formatCode>General</c:formatCode>
                <c:ptCount val="3"/>
                <c:pt idx="0">
                  <c:v>192.41095890411</c:v>
                </c:pt>
                <c:pt idx="1">
                  <c:v>199.911764705882</c:v>
                </c:pt>
                <c:pt idx="2">
                  <c:v>221.540983606557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pivots!$F$25:$F$26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2"/>
                    </a:gs>
                    <a:gs pos="0">
                      <a:schemeClr val="accent2">
                        <a:hueOff val="-1670000"/>
                      </a:schemeClr>
                    </a:gs>
                  </a:gsLst>
                  <a:lin ang="0" scaled="1"/>
                </a:gradFill>
              </a:ln>
              <a:effectLst/>
            </c:spPr>
          </c:marker>
          <c:dLbls>
            <c:delete val="1"/>
          </c:dLbls>
          <c:cat>
            <c:strRef>
              <c:f>pivots!$D$27:$D$30</c:f>
              <c:strCache>
                <c:ptCount val="3"/>
                <c:pt idx="0">
                  <c:v>Adelie</c:v>
                </c:pt>
                <c:pt idx="1">
                  <c:v>Chinstrap</c:v>
                </c:pt>
                <c:pt idx="2">
                  <c:v>Gentoo</c:v>
                </c:pt>
              </c:strCache>
            </c:strRef>
          </c:cat>
          <c:val>
            <c:numRef>
              <c:f>pivots!$F$27:$F$30</c:f>
              <c:numCache>
                <c:formatCode>General</c:formatCode>
                <c:ptCount val="3"/>
                <c:pt idx="0">
                  <c:v>187.794520547945</c:v>
                </c:pt>
                <c:pt idx="1">
                  <c:v>191.735294117647</c:v>
                </c:pt>
                <c:pt idx="2">
                  <c:v>212.706896551724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pivots!$G$25:$G$26</c:f>
              <c:strCache>
                <c:ptCount val="1"/>
                <c:pt idx="0">
                  <c:v>Unknown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3"/>
                    </a:gs>
                    <a:gs pos="0">
                      <a:schemeClr val="accent3">
                        <a:hueOff val="-1670000"/>
                      </a:schemeClr>
                    </a:gs>
                  </a:gsLst>
                  <a:lin ang="0" scaled="1"/>
                </a:gradFill>
              </a:ln>
              <a:effectLst/>
            </c:spPr>
          </c:marker>
          <c:dLbls>
            <c:delete val="1"/>
          </c:dLbls>
          <c:cat>
            <c:strRef>
              <c:f>pivots!$D$27:$D$30</c:f>
              <c:strCache>
                <c:ptCount val="3"/>
                <c:pt idx="0">
                  <c:v>Adelie</c:v>
                </c:pt>
                <c:pt idx="1">
                  <c:v>Chinstrap</c:v>
                </c:pt>
                <c:pt idx="2">
                  <c:v>Gentoo</c:v>
                </c:pt>
              </c:strCache>
            </c:strRef>
          </c:cat>
          <c:val>
            <c:numRef>
              <c:f>pivots!$G$27:$G$30</c:f>
              <c:numCache>
                <c:formatCode>General</c:formatCode>
                <c:ptCount val="3"/>
                <c:pt idx="0">
                  <c:v>185.6</c:v>
                </c:pt>
                <c:pt idx="2">
                  <c:v>215.333333333333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pivots!$H$25:$H$26</c:f>
              <c:strCache>
                <c:ptCount val="1"/>
                <c:pt idx="0">
                  <c:v>#N/A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4"/>
                    </a:gs>
                    <a:gs pos="0">
                      <a:schemeClr val="accent4">
                        <a:hueOff val="-1670000"/>
                      </a:schemeClr>
                    </a:gs>
                  </a:gsLst>
                  <a:lin ang="0" scaled="1"/>
                </a:gradFill>
              </a:ln>
              <a:effectLst/>
            </c:spPr>
          </c:marker>
          <c:dLbls>
            <c:delete val="1"/>
          </c:dLbls>
          <c:cat>
            <c:strRef>
              <c:f>pivots!$D$27:$D$30</c:f>
              <c:strCache>
                <c:ptCount val="3"/>
                <c:pt idx="0">
                  <c:v>Adelie</c:v>
                </c:pt>
                <c:pt idx="1">
                  <c:v>Chinstrap</c:v>
                </c:pt>
                <c:pt idx="2">
                  <c:v>Gentoo</c:v>
                </c:pt>
              </c:strCache>
            </c:strRef>
          </c:cat>
          <c:val>
            <c:numRef>
              <c:f>pivots!$H$27:$H$30</c:f>
              <c:numCache>
                <c:formatCode>General</c:formatCode>
                <c:ptCount val="3"/>
                <c:pt idx="2">
                  <c:v>217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656115162"/>
        <c:axId val="416769577"/>
      </c:lineChart>
      <c:catAx>
        <c:axId val="65611516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6769577"/>
        <c:crosses val="autoZero"/>
        <c:auto val="1"/>
        <c:lblAlgn val="ctr"/>
        <c:lblOffset val="100"/>
        <c:noMultiLvlLbl val="0"/>
      </c:catAx>
      <c:valAx>
        <c:axId val="4167695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61151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cfe553-0f8a-4be1-acb6-e9acd7699f8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[penguins_size.xlsx]pivots!PivotTable6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pivots!$E$33:$E$34</c:f>
              <c:strCache>
                <c:ptCount val="1"/>
                <c:pt idx="0">
                  <c:v>Adelie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pivots!$D$35:$D$38</c:f>
              <c:strCache>
                <c:ptCount val="3"/>
                <c:pt idx="0">
                  <c:v>Torgersen</c:v>
                </c:pt>
                <c:pt idx="1">
                  <c:v>Biscoe</c:v>
                </c:pt>
                <c:pt idx="2">
                  <c:v>Dream</c:v>
                </c:pt>
              </c:strCache>
            </c:strRef>
          </c:cat>
          <c:val>
            <c:numRef>
              <c:f>pivots!$E$35:$E$38</c:f>
              <c:numCache>
                <c:formatCode>General</c:formatCode>
                <c:ptCount val="3"/>
                <c:pt idx="0">
                  <c:v>191.196078431373</c:v>
                </c:pt>
                <c:pt idx="1">
                  <c:v>188.795454545455</c:v>
                </c:pt>
                <c:pt idx="2">
                  <c:v>189.732142857143</c:v>
                </c:pt>
              </c:numCache>
            </c:numRef>
          </c:val>
        </c:ser>
        <c:ser>
          <c:idx val="1"/>
          <c:order val="1"/>
          <c:tx>
            <c:strRef>
              <c:f>pivots!$F$33:$F$34</c:f>
              <c:strCache>
                <c:ptCount val="1"/>
                <c:pt idx="0">
                  <c:v>Chinstrap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pivots!$D$35:$D$38</c:f>
              <c:strCache>
                <c:ptCount val="3"/>
                <c:pt idx="0">
                  <c:v>Torgersen</c:v>
                </c:pt>
                <c:pt idx="1">
                  <c:v>Biscoe</c:v>
                </c:pt>
                <c:pt idx="2">
                  <c:v>Dream</c:v>
                </c:pt>
              </c:strCache>
            </c:strRef>
          </c:cat>
          <c:val>
            <c:numRef>
              <c:f>pivots!$F$35:$F$38</c:f>
              <c:numCache>
                <c:formatCode>General</c:formatCode>
                <c:ptCount val="3"/>
                <c:pt idx="2">
                  <c:v>195.823529411765</c:v>
                </c:pt>
              </c:numCache>
            </c:numRef>
          </c:val>
        </c:ser>
        <c:ser>
          <c:idx val="2"/>
          <c:order val="2"/>
          <c:tx>
            <c:strRef>
              <c:f>pivots!$G$33:$G$34</c:f>
              <c:strCache>
                <c:ptCount val="1"/>
                <c:pt idx="0">
                  <c:v>Gentoo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pivots!$D$35:$D$38</c:f>
              <c:strCache>
                <c:ptCount val="3"/>
                <c:pt idx="0">
                  <c:v>Torgersen</c:v>
                </c:pt>
                <c:pt idx="1">
                  <c:v>Biscoe</c:v>
                </c:pt>
                <c:pt idx="2">
                  <c:v>Dream</c:v>
                </c:pt>
              </c:strCache>
            </c:strRef>
          </c:cat>
          <c:val>
            <c:numRef>
              <c:f>pivots!$G$35:$G$38</c:f>
              <c:numCache>
                <c:formatCode>General</c:formatCode>
                <c:ptCount val="3"/>
                <c:pt idx="1">
                  <c:v>217.186991869919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24005178"/>
        <c:axId val="574141429"/>
      </c:barChart>
      <c:catAx>
        <c:axId val="5240051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4141429"/>
        <c:crosses val="autoZero"/>
        <c:auto val="1"/>
        <c:lblAlgn val="ctr"/>
        <c:lblOffset val="100"/>
        <c:noMultiLvlLbl val="0"/>
      </c:catAx>
      <c:valAx>
        <c:axId val="5741414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40051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b1480e-ab0e-4c39-9b4f-a14a9a17cac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5400000" scaled="0"/>
        </a:gradFill>
        <a:round/>
      </a:ln>
      <a:effectLst/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25400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348615</xdr:colOff>
      <xdr:row>0</xdr:row>
      <xdr:rowOff>9525</xdr:rowOff>
    </xdr:from>
    <xdr:to>
      <xdr:col>23</xdr:col>
      <xdr:colOff>548005</xdr:colOff>
      <xdr:row>32</xdr:row>
      <xdr:rowOff>118110</xdr:rowOff>
    </xdr:to>
    <xdr:sp>
      <xdr:nvSpPr>
        <xdr:cNvPr id="11" name="Rectangle 10"/>
        <xdr:cNvSpPr/>
      </xdr:nvSpPr>
      <xdr:spPr>
        <a:xfrm>
          <a:off x="1610360" y="9525"/>
          <a:ext cx="12748260" cy="620458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3</xdr:col>
      <xdr:colOff>220980</xdr:colOff>
      <xdr:row>0</xdr:row>
      <xdr:rowOff>74930</xdr:rowOff>
    </xdr:from>
    <xdr:to>
      <xdr:col>9</xdr:col>
      <xdr:colOff>456565</xdr:colOff>
      <xdr:row>13</xdr:row>
      <xdr:rowOff>45720</xdr:rowOff>
    </xdr:to>
    <xdr:graphicFrame>
      <xdr:nvGraphicFramePr>
        <xdr:cNvPr id="2" name="Chart 1"/>
        <xdr:cNvGraphicFramePr/>
      </xdr:nvGraphicFramePr>
      <xdr:xfrm>
        <a:off x="1839595" y="74930"/>
        <a:ext cx="3893185" cy="2447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188595</xdr:colOff>
      <xdr:row>18</xdr:row>
      <xdr:rowOff>12065</xdr:rowOff>
    </xdr:from>
    <xdr:to>
      <xdr:col>9</xdr:col>
      <xdr:colOff>500380</xdr:colOff>
      <xdr:row>31</xdr:row>
      <xdr:rowOff>31750</xdr:rowOff>
    </xdr:to>
    <xdr:graphicFrame>
      <xdr:nvGraphicFramePr>
        <xdr:cNvPr id="3" name="Chart 2"/>
        <xdr:cNvGraphicFramePr/>
      </xdr:nvGraphicFramePr>
      <xdr:xfrm>
        <a:off x="1807210" y="3441065"/>
        <a:ext cx="3969385" cy="24961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509905</xdr:colOff>
      <xdr:row>0</xdr:row>
      <xdr:rowOff>103505</xdr:rowOff>
    </xdr:from>
    <xdr:to>
      <xdr:col>17</xdr:col>
      <xdr:colOff>347980</xdr:colOff>
      <xdr:row>13</xdr:row>
      <xdr:rowOff>46355</xdr:rowOff>
    </xdr:to>
    <xdr:graphicFrame>
      <xdr:nvGraphicFramePr>
        <xdr:cNvPr id="5" name="Chart 4"/>
        <xdr:cNvGraphicFramePr/>
      </xdr:nvGraphicFramePr>
      <xdr:xfrm>
        <a:off x="6395720" y="103505"/>
        <a:ext cx="4105275" cy="2419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437515</xdr:colOff>
      <xdr:row>18</xdr:row>
      <xdr:rowOff>55880</xdr:rowOff>
    </xdr:from>
    <xdr:to>
      <xdr:col>18</xdr:col>
      <xdr:colOff>154940</xdr:colOff>
      <xdr:row>31</xdr:row>
      <xdr:rowOff>51435</xdr:rowOff>
    </xdr:to>
    <xdr:graphicFrame>
      <xdr:nvGraphicFramePr>
        <xdr:cNvPr id="6" name="Chart 5"/>
        <xdr:cNvGraphicFramePr/>
      </xdr:nvGraphicFramePr>
      <xdr:xfrm>
        <a:off x="6323330" y="3484880"/>
        <a:ext cx="4594225" cy="2472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</xdr:colOff>
      <xdr:row>0</xdr:row>
      <xdr:rowOff>635</xdr:rowOff>
    </xdr:from>
    <xdr:to>
      <xdr:col>2</xdr:col>
      <xdr:colOff>340360</xdr:colOff>
      <xdr:row>32</xdr:row>
      <xdr:rowOff>165100</xdr:rowOff>
    </xdr:to>
    <xdr:sp>
      <xdr:nvSpPr>
        <xdr:cNvPr id="10" name="Rectangle 9"/>
        <xdr:cNvSpPr/>
      </xdr:nvSpPr>
      <xdr:spPr>
        <a:xfrm>
          <a:off x="7620" y="635"/>
          <a:ext cx="1594485" cy="626046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63500</xdr:colOff>
      <xdr:row>17</xdr:row>
      <xdr:rowOff>12065</xdr:rowOff>
    </xdr:from>
    <xdr:to>
      <xdr:col>2</xdr:col>
      <xdr:colOff>226060</xdr:colOff>
      <xdr:row>26</xdr:row>
      <xdr:rowOff>88265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sex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0" y="3250565"/>
              <a:ext cx="1424305" cy="1790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8.6717824074" refreshedBy="USER" recordCount="344">
  <cacheSource type="worksheet">
    <worksheetSource ref="A1:I345" sheet="penguins_alt"/>
  </cacheSource>
  <cacheFields count="9">
    <cacheField name="species" numFmtId="0">
      <sharedItems count="3">
        <s v="Adelie"/>
        <s v="Chinstrap"/>
        <s v="Gentoo"/>
      </sharedItems>
    </cacheField>
    <cacheField name="island" numFmtId="0">
      <sharedItems count="3">
        <s v="Torgersen"/>
        <s v="Biscoe"/>
        <s v="Dream"/>
      </sharedItems>
    </cacheField>
    <cacheField name="culmen_length_mm" numFmtId="0">
      <sharedItems containsNumber="1" containsMixedTypes="1" count="165">
        <n v="39.1"/>
        <n v="39.5"/>
        <n v="40.3"/>
        <s v="NA"/>
        <n v="36.7"/>
        <n v="39.3"/>
        <n v="38.9"/>
        <n v="39.2"/>
        <n v="34.1"/>
        <n v="42"/>
        <n v="37.8"/>
        <n v="41.1"/>
        <n v="38.6"/>
        <n v="34.6"/>
        <n v="36.6"/>
        <n v="38.7"/>
        <n v="42.5"/>
        <n v="34.4"/>
        <n v="46"/>
        <n v="37.7"/>
        <n v="35.9"/>
        <n v="38.2"/>
        <n v="38.8"/>
        <n v="35.3"/>
        <n v="40.6"/>
        <n v="40.5"/>
        <n v="37.9"/>
        <n v="37.2"/>
        <n v="40.9"/>
        <n v="36.4"/>
        <n v="42.2"/>
        <n v="37.6"/>
        <n v="39.8"/>
        <n v="36.5"/>
        <n v="40.8"/>
        <n v="36"/>
        <n v="44.1"/>
        <n v="37"/>
        <n v="39.6"/>
        <n v="37.5"/>
        <n v="42.3"/>
        <n v="40.1"/>
        <n v="35"/>
        <n v="34.5"/>
        <n v="41.4"/>
        <n v="39"/>
        <n v="35.7"/>
        <n v="41.3"/>
        <n v="41.6"/>
        <n v="35.5"/>
        <n v="41.8"/>
        <n v="33.5"/>
        <n v="39.7"/>
        <n v="45.8"/>
        <n v="42.8"/>
        <n v="36.2"/>
        <n v="42.1"/>
        <n v="42.9"/>
        <n v="35.1"/>
        <n v="37.3"/>
        <n v="36.3"/>
        <n v="36.9"/>
        <n v="38.3"/>
        <n v="34"/>
        <n v="38.1"/>
        <n v="33.1"/>
        <n v="43.2"/>
        <n v="41"/>
        <n v="45.6"/>
        <n v="42.7"/>
        <n v="40.2"/>
        <n v="35.2"/>
        <n v="41.5"/>
        <n v="38.5"/>
        <n v="43.1"/>
        <n v="36.8"/>
        <n v="35.6"/>
        <n v="32.1"/>
        <n v="40.7"/>
        <n v="46.5"/>
        <n v="50"/>
        <n v="51.3"/>
        <n v="45.4"/>
        <n v="52.7"/>
        <n v="45.2"/>
        <n v="46.1"/>
        <n v="46.6"/>
        <n v="51.7"/>
        <n v="47"/>
        <n v="52"/>
        <n v="45.9"/>
        <n v="50.5"/>
        <n v="50.3"/>
        <n v="58"/>
        <n v="46.4"/>
        <n v="49.2"/>
        <n v="42.4"/>
        <n v="48.5"/>
        <n v="50.6"/>
        <n v="46.7"/>
        <n v="49.5"/>
        <n v="52.8"/>
        <n v="54.2"/>
        <n v="51"/>
        <n v="49.7"/>
        <n v="47.5"/>
        <n v="47.6"/>
        <n v="46.9"/>
        <n v="53.5"/>
        <n v="49"/>
        <n v="46.2"/>
        <n v="50.9"/>
        <n v="45.5"/>
        <n v="50.8"/>
        <n v="50.1"/>
        <n v="51.5"/>
        <n v="49.8"/>
        <n v="48.1"/>
        <n v="51.4"/>
        <n v="45.7"/>
        <n v="50.7"/>
        <n v="52.2"/>
        <n v="49.3"/>
        <n v="50.2"/>
        <n v="51.9"/>
        <n v="46.8"/>
        <n v="55.8"/>
        <n v="43.5"/>
        <n v="49.6"/>
        <n v="48.7"/>
        <n v="43.3"/>
        <n v="48.4"/>
        <n v="45.1"/>
        <n v="46.3"/>
        <n v="44.5"/>
        <n v="47.8"/>
        <n v="48.2"/>
        <n v="47.3"/>
        <n v="59.6"/>
        <n v="49.1"/>
        <n v="42.6"/>
        <n v="44.4"/>
        <n v="44"/>
        <n v="45.3"/>
        <n v="43.6"/>
        <n v="44.9"/>
        <n v="45"/>
        <n v="43.8"/>
        <n v="50.4"/>
        <n v="54.3"/>
        <n v="47.7"/>
        <n v="48.6"/>
        <n v="51.1"/>
        <n v="52.5"/>
        <n v="47.4"/>
        <n v="43.4"/>
        <n v="52.1"/>
        <n v="49.4"/>
        <n v="55.9"/>
        <n v="47.2"/>
        <n v="41.7"/>
        <n v="53.4"/>
        <n v="55.1"/>
        <n v="48.8"/>
        <n v="49.9"/>
      </sharedItems>
    </cacheField>
    <cacheField name="culmen_depth_mm" numFmtId="0">
      <sharedItems containsNumber="1" containsMixedTypes="1" count="81">
        <n v="18.7"/>
        <n v="17.4"/>
        <n v="18"/>
        <s v="NA"/>
        <n v="19.3"/>
        <n v="20.6"/>
        <n v="17.8"/>
        <n v="19.6"/>
        <n v="18.1"/>
        <n v="20.2"/>
        <n v="17.1"/>
        <n v="17.3"/>
        <n v="17.6"/>
        <n v="21.2"/>
        <n v="21.1"/>
        <n v="19"/>
        <n v="20.7"/>
        <n v="18.4"/>
        <n v="21.5"/>
        <n v="18.3"/>
        <n v="19.2"/>
        <n v="17.2"/>
        <n v="18.9"/>
        <n v="18.6"/>
        <n v="17.9"/>
        <n v="16.7"/>
        <n v="17"/>
        <n v="20"/>
        <n v="18.5"/>
        <n v="19.1"/>
        <n v="19.7"/>
        <n v="16.9"/>
        <n v="18.8"/>
        <n v="17.7"/>
        <n v="19.5"/>
        <n v="17.5"/>
        <n v="16.6"/>
        <n v="18.2"/>
        <n v="16.2"/>
        <n v="19.4"/>
        <n v="16.8"/>
        <n v="16.1"/>
        <n v="20.3"/>
        <n v="16"/>
        <n v="16.5"/>
        <n v="20.5"/>
        <n v="19.8"/>
        <n v="15.9"/>
        <n v="20.1"/>
        <n v="15.5"/>
        <n v="19.9"/>
        <n v="20.8"/>
        <n v="16.4"/>
        <n v="13.2"/>
        <n v="16.3"/>
        <n v="14.1"/>
        <n v="15.2"/>
        <n v="14.5"/>
        <n v="13.5"/>
        <n v="14.6"/>
        <n v="15.3"/>
        <n v="13.4"/>
        <n v="15.4"/>
        <n v="13.7"/>
        <n v="15.7"/>
        <n v="15.1"/>
        <n v="14.3"/>
        <n v="15.8"/>
        <n v="13.1"/>
        <n v="15"/>
        <n v="14.2"/>
        <n v="14.8"/>
        <n v="13.6"/>
        <n v="13.9"/>
        <n v="13.3"/>
        <n v="14.4"/>
        <n v="13.8"/>
        <n v="14.9"/>
        <n v="15.6"/>
        <n v="14"/>
        <n v="14.7"/>
      </sharedItems>
    </cacheField>
    <cacheField name="flipper_length_mm" numFmtId="0">
      <sharedItems containsNumber="1" containsInteger="1" containsMixedTypes="1" count="56">
        <n v="181"/>
        <n v="186"/>
        <n v="195"/>
        <s v="NA"/>
        <n v="193"/>
        <n v="190"/>
        <n v="180"/>
        <n v="182"/>
        <n v="191"/>
        <n v="198"/>
        <n v="185"/>
        <n v="197"/>
        <n v="184"/>
        <n v="194"/>
        <n v="174"/>
        <n v="189"/>
        <n v="187"/>
        <n v="183"/>
        <n v="172"/>
        <n v="178"/>
        <n v="188"/>
        <n v="196"/>
        <n v="179"/>
        <n v="200"/>
        <n v="192"/>
        <n v="202"/>
        <n v="205"/>
        <n v="208"/>
        <n v="203"/>
        <n v="199"/>
        <n v="176"/>
        <n v="210"/>
        <n v="201"/>
        <n v="212"/>
        <n v="206"/>
        <n v="207"/>
        <n v="211"/>
        <n v="230"/>
        <n v="218"/>
        <n v="215"/>
        <n v="219"/>
        <n v="209"/>
        <n v="214"/>
        <n v="216"/>
        <n v="213"/>
        <n v="217"/>
        <n v="221"/>
        <n v="222"/>
        <n v="220"/>
        <n v="225"/>
        <n v="224"/>
        <n v="231"/>
        <n v="229"/>
        <n v="223"/>
        <n v="228"/>
        <n v="226"/>
      </sharedItems>
    </cacheField>
    <cacheField name="body_mass_g" numFmtId="0">
      <sharedItems containsNumber="1" containsInteger="1" containsMixedTypes="1" count="95">
        <n v="3750"/>
        <n v="3800"/>
        <n v="3250"/>
        <s v="NA"/>
        <n v="3450"/>
        <n v="3650"/>
        <n v="3625"/>
        <n v="4675"/>
        <n v="3475"/>
        <n v="4250"/>
        <n v="3300"/>
        <n v="3700"/>
        <n v="3200"/>
        <n v="4400"/>
        <n v="4500"/>
        <n v="3325"/>
        <n v="4200"/>
        <n v="3400"/>
        <n v="3600"/>
        <n v="3950"/>
        <n v="3550"/>
        <n v="3150"/>
        <n v="3900"/>
        <n v="4150"/>
        <n v="4650"/>
        <n v="3100"/>
        <n v="3000"/>
        <n v="4600"/>
        <n v="3425"/>
        <n v="2975"/>
        <n v="3500"/>
        <n v="4300"/>
        <n v="4050"/>
        <n v="2900"/>
        <n v="2850"/>
        <n v="3350"/>
        <n v="4100"/>
        <n v="3050"/>
        <n v="4450"/>
        <n v="4000"/>
        <n v="4700"/>
        <n v="4350"/>
        <n v="3725"/>
        <n v="4725"/>
        <n v="3075"/>
        <n v="2925"/>
        <n v="3175"/>
        <n v="4775"/>
        <n v="3825"/>
        <n v="4275"/>
        <n v="4075"/>
        <n v="3775"/>
        <n v="3875"/>
        <n v="3275"/>
        <n v="4475"/>
        <n v="3975"/>
        <n v="3525"/>
        <n v="3575"/>
        <n v="4550"/>
        <n v="3850"/>
        <n v="4800"/>
        <n v="2700"/>
        <n v="3675"/>
        <n v="5700"/>
        <n v="5400"/>
        <n v="5200"/>
        <n v="5150"/>
        <n v="5550"/>
        <n v="5850"/>
        <n v="6300"/>
        <n v="5350"/>
        <n v="5000"/>
        <n v="5050"/>
        <n v="5100"/>
        <n v="5650"/>
        <n v="5250"/>
        <n v="6050"/>
        <n v="4950"/>
        <n v="4750"/>
        <n v="4900"/>
        <n v="5300"/>
        <n v="4850"/>
        <n v="5800"/>
        <n v="6000"/>
        <n v="5950"/>
        <n v="4625"/>
        <n v="5450"/>
        <n v="5600"/>
        <n v="4875"/>
        <n v="4925"/>
        <n v="4975"/>
        <n v="5500"/>
        <n v="4575"/>
        <n v="4375"/>
        <n v="5750"/>
      </sharedItems>
    </cacheField>
    <cacheField name="sex" numFmtId="0">
      <sharedItems count="4">
        <s v="MALE"/>
        <s v="FEMALE"/>
        <s v="NA"/>
        <s v="."/>
      </sharedItems>
    </cacheField>
    <cacheField name="body_mass_kg" numFmtId="0">
      <sharedItems containsNumber="1" containsMixedTypes="1" count="95">
        <n v="3.75"/>
        <n v="3.8"/>
        <n v="3.25"/>
        <e v="#VALUE!"/>
        <n v="3.45"/>
        <n v="3.65"/>
        <n v="3.625"/>
        <n v="4.675"/>
        <n v="3.475"/>
        <n v="4.25"/>
        <n v="3.3"/>
        <n v="3.7"/>
        <n v="3.2"/>
        <n v="4.4"/>
        <n v="4.5"/>
        <n v="3.325"/>
        <n v="4.2"/>
        <n v="3.4"/>
        <n v="3.6"/>
        <n v="3.95"/>
        <n v="3.55"/>
        <n v="3.15"/>
        <n v="3.9"/>
        <n v="4.15"/>
        <n v="4.65"/>
        <n v="3.1"/>
        <n v="3"/>
        <n v="4.6"/>
        <n v="3.425"/>
        <n v="2.975"/>
        <n v="3.5"/>
        <n v="4.3"/>
        <n v="4.05"/>
        <n v="2.9"/>
        <n v="2.85"/>
        <n v="3.35"/>
        <n v="4.1"/>
        <n v="3.05"/>
        <n v="4.45"/>
        <n v="4"/>
        <n v="4.7"/>
        <n v="4.35"/>
        <n v="3.725"/>
        <n v="4.725"/>
        <n v="3.075"/>
        <n v="2.925"/>
        <n v="3.175"/>
        <n v="4.775"/>
        <n v="3.825"/>
        <n v="4.275"/>
        <n v="4.075"/>
        <n v="3.775"/>
        <n v="3.875"/>
        <n v="3.275"/>
        <n v="4.475"/>
        <n v="3.975"/>
        <n v="3.525"/>
        <n v="3.575"/>
        <n v="4.55"/>
        <n v="3.85"/>
        <n v="4.8"/>
        <n v="2.7"/>
        <n v="3.675"/>
        <n v="5.7"/>
        <n v="5.4"/>
        <n v="5.2"/>
        <n v="5.15"/>
        <n v="5.55"/>
        <n v="5.85"/>
        <n v="6.3"/>
        <n v="5.35"/>
        <n v="5"/>
        <n v="5.05"/>
        <n v="5.1"/>
        <n v="5.65"/>
        <n v="5.25"/>
        <n v="6.05"/>
        <n v="4.95"/>
        <n v="4.75"/>
        <n v="4.9"/>
        <n v="5.3"/>
        <n v="4.85"/>
        <n v="5.8"/>
        <n v="6"/>
        <n v="5.95"/>
        <n v="4.625"/>
        <n v="5.45"/>
        <n v="5.6"/>
        <n v="4.875"/>
        <n v="4.925"/>
        <n v="4.975"/>
        <n v="5.5"/>
        <n v="4.575"/>
        <n v="4.375"/>
        <n v="5.75"/>
      </sharedItems>
    </cacheField>
    <cacheField name="sex_class " numFmtId="0">
      <sharedItems count="4">
        <s v="Male"/>
        <s v="Female"/>
        <s v="Unknown"/>
        <e v="#N/A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4">
  <r>
    <x v="0"/>
    <x v="0"/>
    <x v="0"/>
    <x v="0"/>
    <x v="0"/>
    <x v="0"/>
    <x v="0"/>
    <x v="0"/>
    <x v="0"/>
  </r>
  <r>
    <x v="0"/>
    <x v="0"/>
    <x v="1"/>
    <x v="1"/>
    <x v="1"/>
    <x v="1"/>
    <x v="1"/>
    <x v="1"/>
    <x v="1"/>
  </r>
  <r>
    <x v="0"/>
    <x v="0"/>
    <x v="2"/>
    <x v="2"/>
    <x v="2"/>
    <x v="2"/>
    <x v="1"/>
    <x v="2"/>
    <x v="1"/>
  </r>
  <r>
    <x v="0"/>
    <x v="0"/>
    <x v="3"/>
    <x v="3"/>
    <x v="3"/>
    <x v="3"/>
    <x v="2"/>
    <x v="3"/>
    <x v="2"/>
  </r>
  <r>
    <x v="0"/>
    <x v="0"/>
    <x v="4"/>
    <x v="4"/>
    <x v="4"/>
    <x v="4"/>
    <x v="1"/>
    <x v="4"/>
    <x v="1"/>
  </r>
  <r>
    <x v="0"/>
    <x v="0"/>
    <x v="5"/>
    <x v="5"/>
    <x v="5"/>
    <x v="5"/>
    <x v="0"/>
    <x v="5"/>
    <x v="0"/>
  </r>
  <r>
    <x v="0"/>
    <x v="0"/>
    <x v="6"/>
    <x v="6"/>
    <x v="0"/>
    <x v="6"/>
    <x v="1"/>
    <x v="6"/>
    <x v="1"/>
  </r>
  <r>
    <x v="0"/>
    <x v="0"/>
    <x v="7"/>
    <x v="7"/>
    <x v="2"/>
    <x v="7"/>
    <x v="0"/>
    <x v="7"/>
    <x v="0"/>
  </r>
  <r>
    <x v="0"/>
    <x v="0"/>
    <x v="8"/>
    <x v="8"/>
    <x v="4"/>
    <x v="8"/>
    <x v="2"/>
    <x v="8"/>
    <x v="2"/>
  </r>
  <r>
    <x v="0"/>
    <x v="0"/>
    <x v="9"/>
    <x v="9"/>
    <x v="5"/>
    <x v="9"/>
    <x v="2"/>
    <x v="9"/>
    <x v="2"/>
  </r>
  <r>
    <x v="0"/>
    <x v="0"/>
    <x v="10"/>
    <x v="10"/>
    <x v="1"/>
    <x v="10"/>
    <x v="2"/>
    <x v="10"/>
    <x v="2"/>
  </r>
  <r>
    <x v="0"/>
    <x v="0"/>
    <x v="10"/>
    <x v="11"/>
    <x v="6"/>
    <x v="11"/>
    <x v="2"/>
    <x v="11"/>
    <x v="2"/>
  </r>
  <r>
    <x v="0"/>
    <x v="0"/>
    <x v="11"/>
    <x v="12"/>
    <x v="7"/>
    <x v="12"/>
    <x v="1"/>
    <x v="12"/>
    <x v="1"/>
  </r>
  <r>
    <x v="0"/>
    <x v="0"/>
    <x v="12"/>
    <x v="13"/>
    <x v="8"/>
    <x v="1"/>
    <x v="0"/>
    <x v="1"/>
    <x v="0"/>
  </r>
  <r>
    <x v="0"/>
    <x v="0"/>
    <x v="13"/>
    <x v="14"/>
    <x v="9"/>
    <x v="13"/>
    <x v="0"/>
    <x v="13"/>
    <x v="0"/>
  </r>
  <r>
    <x v="0"/>
    <x v="0"/>
    <x v="14"/>
    <x v="6"/>
    <x v="10"/>
    <x v="11"/>
    <x v="1"/>
    <x v="11"/>
    <x v="1"/>
  </r>
  <r>
    <x v="0"/>
    <x v="0"/>
    <x v="15"/>
    <x v="15"/>
    <x v="2"/>
    <x v="4"/>
    <x v="1"/>
    <x v="4"/>
    <x v="1"/>
  </r>
  <r>
    <x v="0"/>
    <x v="0"/>
    <x v="16"/>
    <x v="16"/>
    <x v="11"/>
    <x v="14"/>
    <x v="0"/>
    <x v="14"/>
    <x v="0"/>
  </r>
  <r>
    <x v="0"/>
    <x v="0"/>
    <x v="17"/>
    <x v="17"/>
    <x v="12"/>
    <x v="15"/>
    <x v="1"/>
    <x v="15"/>
    <x v="1"/>
  </r>
  <r>
    <x v="0"/>
    <x v="0"/>
    <x v="18"/>
    <x v="18"/>
    <x v="13"/>
    <x v="16"/>
    <x v="0"/>
    <x v="16"/>
    <x v="0"/>
  </r>
  <r>
    <x v="0"/>
    <x v="1"/>
    <x v="10"/>
    <x v="19"/>
    <x v="14"/>
    <x v="17"/>
    <x v="1"/>
    <x v="17"/>
    <x v="1"/>
  </r>
  <r>
    <x v="0"/>
    <x v="1"/>
    <x v="19"/>
    <x v="0"/>
    <x v="6"/>
    <x v="18"/>
    <x v="0"/>
    <x v="18"/>
    <x v="0"/>
  </r>
  <r>
    <x v="0"/>
    <x v="1"/>
    <x v="20"/>
    <x v="20"/>
    <x v="15"/>
    <x v="1"/>
    <x v="1"/>
    <x v="1"/>
    <x v="1"/>
  </r>
  <r>
    <x v="0"/>
    <x v="1"/>
    <x v="21"/>
    <x v="8"/>
    <x v="10"/>
    <x v="19"/>
    <x v="0"/>
    <x v="19"/>
    <x v="0"/>
  </r>
  <r>
    <x v="0"/>
    <x v="1"/>
    <x v="22"/>
    <x v="21"/>
    <x v="6"/>
    <x v="1"/>
    <x v="0"/>
    <x v="1"/>
    <x v="0"/>
  </r>
  <r>
    <x v="0"/>
    <x v="1"/>
    <x v="23"/>
    <x v="22"/>
    <x v="16"/>
    <x v="1"/>
    <x v="1"/>
    <x v="1"/>
    <x v="1"/>
  </r>
  <r>
    <x v="0"/>
    <x v="1"/>
    <x v="24"/>
    <x v="23"/>
    <x v="17"/>
    <x v="20"/>
    <x v="0"/>
    <x v="20"/>
    <x v="0"/>
  </r>
  <r>
    <x v="0"/>
    <x v="1"/>
    <x v="25"/>
    <x v="24"/>
    <x v="16"/>
    <x v="12"/>
    <x v="1"/>
    <x v="12"/>
    <x v="1"/>
  </r>
  <r>
    <x v="0"/>
    <x v="1"/>
    <x v="26"/>
    <x v="23"/>
    <x v="18"/>
    <x v="21"/>
    <x v="1"/>
    <x v="21"/>
    <x v="1"/>
  </r>
  <r>
    <x v="0"/>
    <x v="1"/>
    <x v="25"/>
    <x v="22"/>
    <x v="6"/>
    <x v="19"/>
    <x v="0"/>
    <x v="19"/>
    <x v="0"/>
  </r>
  <r>
    <x v="0"/>
    <x v="2"/>
    <x v="1"/>
    <x v="25"/>
    <x v="19"/>
    <x v="2"/>
    <x v="1"/>
    <x v="2"/>
    <x v="1"/>
  </r>
  <r>
    <x v="0"/>
    <x v="2"/>
    <x v="27"/>
    <x v="8"/>
    <x v="19"/>
    <x v="22"/>
    <x v="0"/>
    <x v="22"/>
    <x v="0"/>
  </r>
  <r>
    <x v="0"/>
    <x v="2"/>
    <x v="1"/>
    <x v="6"/>
    <x v="20"/>
    <x v="10"/>
    <x v="1"/>
    <x v="10"/>
    <x v="1"/>
  </r>
  <r>
    <x v="0"/>
    <x v="2"/>
    <x v="28"/>
    <x v="22"/>
    <x v="12"/>
    <x v="22"/>
    <x v="0"/>
    <x v="22"/>
    <x v="0"/>
  </r>
  <r>
    <x v="0"/>
    <x v="2"/>
    <x v="29"/>
    <x v="26"/>
    <x v="2"/>
    <x v="15"/>
    <x v="1"/>
    <x v="15"/>
    <x v="1"/>
  </r>
  <r>
    <x v="0"/>
    <x v="2"/>
    <x v="7"/>
    <x v="14"/>
    <x v="21"/>
    <x v="23"/>
    <x v="0"/>
    <x v="23"/>
    <x v="0"/>
  </r>
  <r>
    <x v="0"/>
    <x v="2"/>
    <x v="22"/>
    <x v="27"/>
    <x v="5"/>
    <x v="19"/>
    <x v="0"/>
    <x v="19"/>
    <x v="0"/>
  </r>
  <r>
    <x v="0"/>
    <x v="2"/>
    <x v="30"/>
    <x v="28"/>
    <x v="6"/>
    <x v="20"/>
    <x v="1"/>
    <x v="20"/>
    <x v="1"/>
  </r>
  <r>
    <x v="0"/>
    <x v="2"/>
    <x v="31"/>
    <x v="4"/>
    <x v="0"/>
    <x v="10"/>
    <x v="1"/>
    <x v="10"/>
    <x v="1"/>
  </r>
  <r>
    <x v="0"/>
    <x v="2"/>
    <x v="32"/>
    <x v="29"/>
    <x v="12"/>
    <x v="24"/>
    <x v="0"/>
    <x v="24"/>
    <x v="0"/>
  </r>
  <r>
    <x v="0"/>
    <x v="2"/>
    <x v="33"/>
    <x v="2"/>
    <x v="7"/>
    <x v="21"/>
    <x v="1"/>
    <x v="21"/>
    <x v="1"/>
  </r>
  <r>
    <x v="0"/>
    <x v="2"/>
    <x v="34"/>
    <x v="17"/>
    <x v="2"/>
    <x v="22"/>
    <x v="0"/>
    <x v="22"/>
    <x v="0"/>
  </r>
  <r>
    <x v="0"/>
    <x v="2"/>
    <x v="35"/>
    <x v="28"/>
    <x v="1"/>
    <x v="25"/>
    <x v="1"/>
    <x v="25"/>
    <x v="1"/>
  </r>
  <r>
    <x v="0"/>
    <x v="2"/>
    <x v="36"/>
    <x v="30"/>
    <x v="21"/>
    <x v="13"/>
    <x v="0"/>
    <x v="13"/>
    <x v="0"/>
  </r>
  <r>
    <x v="0"/>
    <x v="2"/>
    <x v="37"/>
    <x v="31"/>
    <x v="10"/>
    <x v="26"/>
    <x v="1"/>
    <x v="26"/>
    <x v="1"/>
  </r>
  <r>
    <x v="0"/>
    <x v="2"/>
    <x v="38"/>
    <x v="32"/>
    <x v="5"/>
    <x v="27"/>
    <x v="0"/>
    <x v="27"/>
    <x v="0"/>
  </r>
  <r>
    <x v="0"/>
    <x v="2"/>
    <x v="11"/>
    <x v="15"/>
    <x v="7"/>
    <x v="28"/>
    <x v="0"/>
    <x v="28"/>
    <x v="0"/>
  </r>
  <r>
    <x v="0"/>
    <x v="2"/>
    <x v="39"/>
    <x v="22"/>
    <x v="22"/>
    <x v="29"/>
    <x v="2"/>
    <x v="29"/>
    <x v="2"/>
  </r>
  <r>
    <x v="0"/>
    <x v="2"/>
    <x v="35"/>
    <x v="24"/>
    <x v="5"/>
    <x v="4"/>
    <x v="1"/>
    <x v="4"/>
    <x v="1"/>
  </r>
  <r>
    <x v="0"/>
    <x v="2"/>
    <x v="40"/>
    <x v="13"/>
    <x v="8"/>
    <x v="23"/>
    <x v="0"/>
    <x v="23"/>
    <x v="0"/>
  </r>
  <r>
    <x v="0"/>
    <x v="1"/>
    <x v="38"/>
    <x v="33"/>
    <x v="1"/>
    <x v="30"/>
    <x v="1"/>
    <x v="30"/>
    <x v="1"/>
  </r>
  <r>
    <x v="0"/>
    <x v="1"/>
    <x v="41"/>
    <x v="22"/>
    <x v="20"/>
    <x v="31"/>
    <x v="0"/>
    <x v="31"/>
    <x v="0"/>
  </r>
  <r>
    <x v="0"/>
    <x v="1"/>
    <x v="42"/>
    <x v="24"/>
    <x v="5"/>
    <x v="4"/>
    <x v="1"/>
    <x v="4"/>
    <x v="1"/>
  </r>
  <r>
    <x v="0"/>
    <x v="1"/>
    <x v="9"/>
    <x v="34"/>
    <x v="23"/>
    <x v="32"/>
    <x v="0"/>
    <x v="32"/>
    <x v="0"/>
  </r>
  <r>
    <x v="0"/>
    <x v="1"/>
    <x v="43"/>
    <x v="8"/>
    <x v="16"/>
    <x v="33"/>
    <x v="1"/>
    <x v="33"/>
    <x v="1"/>
  </r>
  <r>
    <x v="0"/>
    <x v="1"/>
    <x v="44"/>
    <x v="23"/>
    <x v="8"/>
    <x v="11"/>
    <x v="0"/>
    <x v="11"/>
    <x v="0"/>
  </r>
  <r>
    <x v="0"/>
    <x v="1"/>
    <x v="45"/>
    <x v="35"/>
    <x v="1"/>
    <x v="20"/>
    <x v="1"/>
    <x v="20"/>
    <x v="1"/>
  </r>
  <r>
    <x v="0"/>
    <x v="1"/>
    <x v="24"/>
    <x v="32"/>
    <x v="4"/>
    <x v="1"/>
    <x v="0"/>
    <x v="1"/>
    <x v="0"/>
  </r>
  <r>
    <x v="0"/>
    <x v="1"/>
    <x v="33"/>
    <x v="36"/>
    <x v="0"/>
    <x v="34"/>
    <x v="1"/>
    <x v="34"/>
    <x v="1"/>
  </r>
  <r>
    <x v="0"/>
    <x v="1"/>
    <x v="31"/>
    <x v="29"/>
    <x v="13"/>
    <x v="0"/>
    <x v="0"/>
    <x v="0"/>
    <x v="0"/>
  </r>
  <r>
    <x v="0"/>
    <x v="1"/>
    <x v="46"/>
    <x v="31"/>
    <x v="10"/>
    <x v="21"/>
    <x v="1"/>
    <x v="21"/>
    <x v="1"/>
  </r>
  <r>
    <x v="0"/>
    <x v="1"/>
    <x v="47"/>
    <x v="14"/>
    <x v="2"/>
    <x v="13"/>
    <x v="0"/>
    <x v="13"/>
    <x v="0"/>
  </r>
  <r>
    <x v="0"/>
    <x v="1"/>
    <x v="31"/>
    <x v="26"/>
    <x v="10"/>
    <x v="18"/>
    <x v="1"/>
    <x v="18"/>
    <x v="1"/>
  </r>
  <r>
    <x v="0"/>
    <x v="1"/>
    <x v="11"/>
    <x v="37"/>
    <x v="24"/>
    <x v="32"/>
    <x v="0"/>
    <x v="32"/>
    <x v="0"/>
  </r>
  <r>
    <x v="0"/>
    <x v="1"/>
    <x v="29"/>
    <x v="10"/>
    <x v="12"/>
    <x v="34"/>
    <x v="1"/>
    <x v="34"/>
    <x v="1"/>
  </r>
  <r>
    <x v="0"/>
    <x v="1"/>
    <x v="48"/>
    <x v="2"/>
    <x v="24"/>
    <x v="19"/>
    <x v="0"/>
    <x v="19"/>
    <x v="0"/>
  </r>
  <r>
    <x v="0"/>
    <x v="1"/>
    <x v="49"/>
    <x v="38"/>
    <x v="2"/>
    <x v="35"/>
    <x v="1"/>
    <x v="35"/>
    <x v="1"/>
  </r>
  <r>
    <x v="0"/>
    <x v="1"/>
    <x v="11"/>
    <x v="29"/>
    <x v="20"/>
    <x v="36"/>
    <x v="0"/>
    <x v="36"/>
    <x v="0"/>
  </r>
  <r>
    <x v="0"/>
    <x v="0"/>
    <x v="20"/>
    <x v="36"/>
    <x v="5"/>
    <x v="37"/>
    <x v="1"/>
    <x v="37"/>
    <x v="1"/>
  </r>
  <r>
    <x v="0"/>
    <x v="0"/>
    <x v="50"/>
    <x v="39"/>
    <x v="9"/>
    <x v="38"/>
    <x v="0"/>
    <x v="38"/>
    <x v="0"/>
  </r>
  <r>
    <x v="0"/>
    <x v="0"/>
    <x v="51"/>
    <x v="15"/>
    <x v="5"/>
    <x v="18"/>
    <x v="1"/>
    <x v="18"/>
    <x v="1"/>
  </r>
  <r>
    <x v="0"/>
    <x v="0"/>
    <x v="52"/>
    <x v="17"/>
    <x v="5"/>
    <x v="22"/>
    <x v="0"/>
    <x v="22"/>
    <x v="0"/>
  </r>
  <r>
    <x v="0"/>
    <x v="0"/>
    <x v="38"/>
    <x v="21"/>
    <x v="21"/>
    <x v="20"/>
    <x v="1"/>
    <x v="20"/>
    <x v="1"/>
  </r>
  <r>
    <x v="0"/>
    <x v="0"/>
    <x v="53"/>
    <x v="22"/>
    <x v="11"/>
    <x v="23"/>
    <x v="0"/>
    <x v="23"/>
    <x v="0"/>
  </r>
  <r>
    <x v="0"/>
    <x v="0"/>
    <x v="49"/>
    <x v="35"/>
    <x v="5"/>
    <x v="11"/>
    <x v="1"/>
    <x v="11"/>
    <x v="1"/>
  </r>
  <r>
    <x v="0"/>
    <x v="0"/>
    <x v="54"/>
    <x v="28"/>
    <x v="2"/>
    <x v="9"/>
    <x v="0"/>
    <x v="9"/>
    <x v="0"/>
  </r>
  <r>
    <x v="0"/>
    <x v="0"/>
    <x v="28"/>
    <x v="40"/>
    <x v="8"/>
    <x v="11"/>
    <x v="1"/>
    <x v="11"/>
    <x v="1"/>
  </r>
  <r>
    <x v="0"/>
    <x v="0"/>
    <x v="27"/>
    <x v="39"/>
    <x v="12"/>
    <x v="22"/>
    <x v="0"/>
    <x v="22"/>
    <x v="0"/>
  </r>
  <r>
    <x v="0"/>
    <x v="0"/>
    <x v="55"/>
    <x v="41"/>
    <x v="16"/>
    <x v="20"/>
    <x v="1"/>
    <x v="20"/>
    <x v="1"/>
  </r>
  <r>
    <x v="0"/>
    <x v="0"/>
    <x v="56"/>
    <x v="29"/>
    <x v="2"/>
    <x v="39"/>
    <x v="0"/>
    <x v="39"/>
    <x v="0"/>
  </r>
  <r>
    <x v="0"/>
    <x v="0"/>
    <x v="13"/>
    <x v="21"/>
    <x v="15"/>
    <x v="12"/>
    <x v="1"/>
    <x v="12"/>
    <x v="1"/>
  </r>
  <r>
    <x v="0"/>
    <x v="0"/>
    <x v="57"/>
    <x v="12"/>
    <x v="21"/>
    <x v="40"/>
    <x v="0"/>
    <x v="40"/>
    <x v="0"/>
  </r>
  <r>
    <x v="0"/>
    <x v="0"/>
    <x v="4"/>
    <x v="32"/>
    <x v="16"/>
    <x v="1"/>
    <x v="1"/>
    <x v="1"/>
    <x v="1"/>
  </r>
  <r>
    <x v="0"/>
    <x v="0"/>
    <x v="58"/>
    <x v="39"/>
    <x v="4"/>
    <x v="16"/>
    <x v="0"/>
    <x v="16"/>
    <x v="0"/>
  </r>
  <r>
    <x v="0"/>
    <x v="2"/>
    <x v="59"/>
    <x v="6"/>
    <x v="8"/>
    <x v="35"/>
    <x v="1"/>
    <x v="35"/>
    <x v="1"/>
  </r>
  <r>
    <x v="0"/>
    <x v="2"/>
    <x v="47"/>
    <x v="42"/>
    <x v="13"/>
    <x v="20"/>
    <x v="0"/>
    <x v="20"/>
    <x v="0"/>
  </r>
  <r>
    <x v="0"/>
    <x v="2"/>
    <x v="60"/>
    <x v="34"/>
    <x v="5"/>
    <x v="1"/>
    <x v="0"/>
    <x v="1"/>
    <x v="0"/>
  </r>
  <r>
    <x v="0"/>
    <x v="2"/>
    <x v="61"/>
    <x v="23"/>
    <x v="15"/>
    <x v="30"/>
    <x v="1"/>
    <x v="30"/>
    <x v="1"/>
  </r>
  <r>
    <x v="0"/>
    <x v="2"/>
    <x v="62"/>
    <x v="20"/>
    <x v="15"/>
    <x v="19"/>
    <x v="0"/>
    <x v="19"/>
    <x v="0"/>
  </r>
  <r>
    <x v="0"/>
    <x v="2"/>
    <x v="6"/>
    <x v="32"/>
    <x v="5"/>
    <x v="18"/>
    <x v="1"/>
    <x v="18"/>
    <x v="1"/>
  </r>
  <r>
    <x v="0"/>
    <x v="2"/>
    <x v="46"/>
    <x v="2"/>
    <x v="25"/>
    <x v="20"/>
    <x v="1"/>
    <x v="20"/>
    <x v="1"/>
  </r>
  <r>
    <x v="0"/>
    <x v="2"/>
    <x v="11"/>
    <x v="8"/>
    <x v="26"/>
    <x v="31"/>
    <x v="0"/>
    <x v="31"/>
    <x v="0"/>
  </r>
  <r>
    <x v="0"/>
    <x v="2"/>
    <x v="63"/>
    <x v="10"/>
    <x v="10"/>
    <x v="17"/>
    <x v="1"/>
    <x v="17"/>
    <x v="1"/>
  </r>
  <r>
    <x v="0"/>
    <x v="2"/>
    <x v="38"/>
    <x v="8"/>
    <x v="1"/>
    <x v="38"/>
    <x v="0"/>
    <x v="38"/>
    <x v="0"/>
  </r>
  <r>
    <x v="0"/>
    <x v="2"/>
    <x v="55"/>
    <x v="11"/>
    <x v="16"/>
    <x v="10"/>
    <x v="1"/>
    <x v="10"/>
    <x v="1"/>
  </r>
  <r>
    <x v="0"/>
    <x v="2"/>
    <x v="34"/>
    <x v="22"/>
    <x v="27"/>
    <x v="31"/>
    <x v="0"/>
    <x v="31"/>
    <x v="0"/>
  </r>
  <r>
    <x v="0"/>
    <x v="2"/>
    <x v="64"/>
    <x v="23"/>
    <x v="5"/>
    <x v="11"/>
    <x v="1"/>
    <x v="11"/>
    <x v="1"/>
  </r>
  <r>
    <x v="0"/>
    <x v="2"/>
    <x v="2"/>
    <x v="28"/>
    <x v="21"/>
    <x v="41"/>
    <x v="0"/>
    <x v="41"/>
    <x v="0"/>
  </r>
  <r>
    <x v="0"/>
    <x v="2"/>
    <x v="65"/>
    <x v="41"/>
    <x v="19"/>
    <x v="33"/>
    <x v="1"/>
    <x v="33"/>
    <x v="1"/>
  </r>
  <r>
    <x v="0"/>
    <x v="2"/>
    <x v="66"/>
    <x v="28"/>
    <x v="24"/>
    <x v="36"/>
    <x v="0"/>
    <x v="36"/>
    <x v="0"/>
  </r>
  <r>
    <x v="0"/>
    <x v="1"/>
    <x v="42"/>
    <x v="24"/>
    <x v="24"/>
    <x v="42"/>
    <x v="1"/>
    <x v="42"/>
    <x v="1"/>
  </r>
  <r>
    <x v="0"/>
    <x v="1"/>
    <x v="67"/>
    <x v="27"/>
    <x v="28"/>
    <x v="43"/>
    <x v="0"/>
    <x v="43"/>
    <x v="0"/>
  </r>
  <r>
    <x v="0"/>
    <x v="1"/>
    <x v="19"/>
    <x v="43"/>
    <x v="17"/>
    <x v="44"/>
    <x v="1"/>
    <x v="44"/>
    <x v="1"/>
  </r>
  <r>
    <x v="0"/>
    <x v="1"/>
    <x v="10"/>
    <x v="27"/>
    <x v="5"/>
    <x v="9"/>
    <x v="0"/>
    <x v="9"/>
    <x v="0"/>
  </r>
  <r>
    <x v="0"/>
    <x v="1"/>
    <x v="26"/>
    <x v="23"/>
    <x v="4"/>
    <x v="45"/>
    <x v="1"/>
    <x v="45"/>
    <x v="1"/>
  </r>
  <r>
    <x v="0"/>
    <x v="1"/>
    <x v="52"/>
    <x v="22"/>
    <x v="12"/>
    <x v="20"/>
    <x v="0"/>
    <x v="20"/>
    <x v="0"/>
  </r>
  <r>
    <x v="0"/>
    <x v="1"/>
    <x v="12"/>
    <x v="21"/>
    <x v="29"/>
    <x v="0"/>
    <x v="1"/>
    <x v="0"/>
    <x v="1"/>
  </r>
  <r>
    <x v="0"/>
    <x v="1"/>
    <x v="21"/>
    <x v="27"/>
    <x v="5"/>
    <x v="22"/>
    <x v="0"/>
    <x v="22"/>
    <x v="0"/>
  </r>
  <r>
    <x v="0"/>
    <x v="1"/>
    <x v="64"/>
    <x v="26"/>
    <x v="0"/>
    <x v="46"/>
    <x v="1"/>
    <x v="46"/>
    <x v="1"/>
  </r>
  <r>
    <x v="0"/>
    <x v="1"/>
    <x v="66"/>
    <x v="15"/>
    <x v="11"/>
    <x v="47"/>
    <x v="0"/>
    <x v="47"/>
    <x v="0"/>
  </r>
  <r>
    <x v="0"/>
    <x v="1"/>
    <x v="64"/>
    <x v="44"/>
    <x v="9"/>
    <x v="48"/>
    <x v="1"/>
    <x v="48"/>
    <x v="1"/>
  </r>
  <r>
    <x v="0"/>
    <x v="1"/>
    <x v="68"/>
    <x v="42"/>
    <x v="8"/>
    <x v="27"/>
    <x v="0"/>
    <x v="27"/>
    <x v="0"/>
  </r>
  <r>
    <x v="0"/>
    <x v="1"/>
    <x v="52"/>
    <x v="33"/>
    <x v="4"/>
    <x v="12"/>
    <x v="1"/>
    <x v="12"/>
    <x v="1"/>
  </r>
  <r>
    <x v="0"/>
    <x v="1"/>
    <x v="30"/>
    <x v="34"/>
    <x v="11"/>
    <x v="49"/>
    <x v="0"/>
    <x v="49"/>
    <x v="0"/>
  </r>
  <r>
    <x v="0"/>
    <x v="1"/>
    <x v="38"/>
    <x v="16"/>
    <x v="8"/>
    <x v="22"/>
    <x v="1"/>
    <x v="22"/>
    <x v="1"/>
  </r>
  <r>
    <x v="0"/>
    <x v="1"/>
    <x v="69"/>
    <x v="19"/>
    <x v="21"/>
    <x v="50"/>
    <x v="0"/>
    <x v="50"/>
    <x v="0"/>
  </r>
  <r>
    <x v="0"/>
    <x v="0"/>
    <x v="12"/>
    <x v="26"/>
    <x v="20"/>
    <x v="33"/>
    <x v="1"/>
    <x v="33"/>
    <x v="1"/>
  </r>
  <r>
    <x v="0"/>
    <x v="0"/>
    <x v="59"/>
    <x v="45"/>
    <x v="29"/>
    <x v="51"/>
    <x v="0"/>
    <x v="51"/>
    <x v="0"/>
  </r>
  <r>
    <x v="0"/>
    <x v="0"/>
    <x v="46"/>
    <x v="26"/>
    <x v="15"/>
    <x v="35"/>
    <x v="1"/>
    <x v="35"/>
    <x v="1"/>
  </r>
  <r>
    <x v="0"/>
    <x v="0"/>
    <x v="11"/>
    <x v="23"/>
    <x v="15"/>
    <x v="15"/>
    <x v="0"/>
    <x v="15"/>
    <x v="0"/>
  </r>
  <r>
    <x v="0"/>
    <x v="0"/>
    <x v="55"/>
    <x v="21"/>
    <x v="16"/>
    <x v="21"/>
    <x v="1"/>
    <x v="21"/>
    <x v="1"/>
  </r>
  <r>
    <x v="0"/>
    <x v="0"/>
    <x v="19"/>
    <x v="46"/>
    <x v="9"/>
    <x v="30"/>
    <x v="0"/>
    <x v="30"/>
    <x v="0"/>
  </r>
  <r>
    <x v="0"/>
    <x v="0"/>
    <x v="70"/>
    <x v="26"/>
    <x v="30"/>
    <x v="4"/>
    <x v="1"/>
    <x v="4"/>
    <x v="1"/>
  </r>
  <r>
    <x v="0"/>
    <x v="0"/>
    <x v="44"/>
    <x v="28"/>
    <x v="25"/>
    <x v="52"/>
    <x v="0"/>
    <x v="52"/>
    <x v="0"/>
  </r>
  <r>
    <x v="0"/>
    <x v="0"/>
    <x v="71"/>
    <x v="47"/>
    <x v="1"/>
    <x v="37"/>
    <x v="1"/>
    <x v="37"/>
    <x v="1"/>
  </r>
  <r>
    <x v="0"/>
    <x v="0"/>
    <x v="24"/>
    <x v="15"/>
    <x v="29"/>
    <x v="39"/>
    <x v="0"/>
    <x v="39"/>
    <x v="0"/>
  </r>
  <r>
    <x v="0"/>
    <x v="0"/>
    <x v="22"/>
    <x v="12"/>
    <x v="8"/>
    <x v="53"/>
    <x v="1"/>
    <x v="53"/>
    <x v="1"/>
  </r>
  <r>
    <x v="0"/>
    <x v="0"/>
    <x v="72"/>
    <x v="19"/>
    <x v="2"/>
    <x v="31"/>
    <x v="0"/>
    <x v="31"/>
    <x v="0"/>
  </r>
  <r>
    <x v="0"/>
    <x v="0"/>
    <x v="45"/>
    <x v="10"/>
    <x v="8"/>
    <x v="37"/>
    <x v="1"/>
    <x v="37"/>
    <x v="1"/>
  </r>
  <r>
    <x v="0"/>
    <x v="0"/>
    <x v="36"/>
    <x v="2"/>
    <x v="31"/>
    <x v="39"/>
    <x v="0"/>
    <x v="39"/>
    <x v="0"/>
  </r>
  <r>
    <x v="0"/>
    <x v="0"/>
    <x v="73"/>
    <x v="24"/>
    <x v="5"/>
    <x v="15"/>
    <x v="1"/>
    <x v="15"/>
    <x v="1"/>
  </r>
  <r>
    <x v="0"/>
    <x v="0"/>
    <x v="74"/>
    <x v="20"/>
    <x v="11"/>
    <x v="30"/>
    <x v="0"/>
    <x v="30"/>
    <x v="0"/>
  </r>
  <r>
    <x v="0"/>
    <x v="2"/>
    <x v="75"/>
    <x v="28"/>
    <x v="4"/>
    <x v="30"/>
    <x v="1"/>
    <x v="30"/>
    <x v="1"/>
  </r>
  <r>
    <x v="0"/>
    <x v="2"/>
    <x v="39"/>
    <x v="28"/>
    <x v="29"/>
    <x v="54"/>
    <x v="0"/>
    <x v="54"/>
    <x v="0"/>
  </r>
  <r>
    <x v="0"/>
    <x v="2"/>
    <x v="64"/>
    <x v="12"/>
    <x v="16"/>
    <x v="28"/>
    <x v="1"/>
    <x v="28"/>
    <x v="1"/>
  </r>
  <r>
    <x v="0"/>
    <x v="2"/>
    <x v="11"/>
    <x v="35"/>
    <x v="5"/>
    <x v="22"/>
    <x v="0"/>
    <x v="22"/>
    <x v="0"/>
  </r>
  <r>
    <x v="0"/>
    <x v="2"/>
    <x v="76"/>
    <x v="35"/>
    <x v="8"/>
    <x v="46"/>
    <x v="1"/>
    <x v="46"/>
    <x v="1"/>
  </r>
  <r>
    <x v="0"/>
    <x v="2"/>
    <x v="70"/>
    <x v="48"/>
    <x v="23"/>
    <x v="55"/>
    <x v="0"/>
    <x v="55"/>
    <x v="0"/>
  </r>
  <r>
    <x v="0"/>
    <x v="2"/>
    <x v="37"/>
    <x v="44"/>
    <x v="10"/>
    <x v="17"/>
    <x v="1"/>
    <x v="17"/>
    <x v="1"/>
  </r>
  <r>
    <x v="0"/>
    <x v="2"/>
    <x v="52"/>
    <x v="24"/>
    <x v="4"/>
    <x v="9"/>
    <x v="0"/>
    <x v="9"/>
    <x v="0"/>
  </r>
  <r>
    <x v="0"/>
    <x v="2"/>
    <x v="70"/>
    <x v="10"/>
    <x v="4"/>
    <x v="17"/>
    <x v="1"/>
    <x v="17"/>
    <x v="1"/>
  </r>
  <r>
    <x v="0"/>
    <x v="2"/>
    <x v="24"/>
    <x v="21"/>
    <x v="16"/>
    <x v="8"/>
    <x v="0"/>
    <x v="8"/>
    <x v="0"/>
  </r>
  <r>
    <x v="0"/>
    <x v="2"/>
    <x v="77"/>
    <x v="49"/>
    <x v="20"/>
    <x v="37"/>
    <x v="1"/>
    <x v="37"/>
    <x v="1"/>
  </r>
  <r>
    <x v="0"/>
    <x v="2"/>
    <x v="78"/>
    <x v="26"/>
    <x v="5"/>
    <x v="42"/>
    <x v="0"/>
    <x v="42"/>
    <x v="0"/>
  </r>
  <r>
    <x v="0"/>
    <x v="2"/>
    <x v="59"/>
    <x v="40"/>
    <x v="24"/>
    <x v="26"/>
    <x v="1"/>
    <x v="26"/>
    <x v="1"/>
  </r>
  <r>
    <x v="0"/>
    <x v="2"/>
    <x v="45"/>
    <x v="0"/>
    <x v="10"/>
    <x v="5"/>
    <x v="0"/>
    <x v="5"/>
    <x v="0"/>
  </r>
  <r>
    <x v="0"/>
    <x v="2"/>
    <x v="7"/>
    <x v="23"/>
    <x v="5"/>
    <x v="9"/>
    <x v="0"/>
    <x v="9"/>
    <x v="0"/>
  </r>
  <r>
    <x v="0"/>
    <x v="2"/>
    <x v="14"/>
    <x v="17"/>
    <x v="12"/>
    <x v="8"/>
    <x v="1"/>
    <x v="8"/>
    <x v="1"/>
  </r>
  <r>
    <x v="0"/>
    <x v="2"/>
    <x v="35"/>
    <x v="6"/>
    <x v="2"/>
    <x v="4"/>
    <x v="1"/>
    <x v="4"/>
    <x v="1"/>
  </r>
  <r>
    <x v="0"/>
    <x v="2"/>
    <x v="10"/>
    <x v="8"/>
    <x v="4"/>
    <x v="0"/>
    <x v="0"/>
    <x v="0"/>
    <x v="0"/>
  </r>
  <r>
    <x v="0"/>
    <x v="2"/>
    <x v="35"/>
    <x v="10"/>
    <x v="16"/>
    <x v="11"/>
    <x v="1"/>
    <x v="11"/>
    <x v="1"/>
  </r>
  <r>
    <x v="0"/>
    <x v="2"/>
    <x v="72"/>
    <x v="28"/>
    <x v="32"/>
    <x v="39"/>
    <x v="0"/>
    <x v="39"/>
    <x v="0"/>
  </r>
  <r>
    <x v="1"/>
    <x v="2"/>
    <x v="79"/>
    <x v="24"/>
    <x v="24"/>
    <x v="30"/>
    <x v="1"/>
    <x v="30"/>
    <x v="1"/>
  </r>
  <r>
    <x v="1"/>
    <x v="2"/>
    <x v="80"/>
    <x v="34"/>
    <x v="21"/>
    <x v="22"/>
    <x v="0"/>
    <x v="22"/>
    <x v="0"/>
  </r>
  <r>
    <x v="1"/>
    <x v="2"/>
    <x v="81"/>
    <x v="20"/>
    <x v="4"/>
    <x v="5"/>
    <x v="0"/>
    <x v="5"/>
    <x v="0"/>
  </r>
  <r>
    <x v="1"/>
    <x v="2"/>
    <x v="82"/>
    <x v="0"/>
    <x v="20"/>
    <x v="56"/>
    <x v="1"/>
    <x v="56"/>
    <x v="1"/>
  </r>
  <r>
    <x v="1"/>
    <x v="2"/>
    <x v="83"/>
    <x v="46"/>
    <x v="11"/>
    <x v="42"/>
    <x v="0"/>
    <x v="42"/>
    <x v="0"/>
  </r>
  <r>
    <x v="1"/>
    <x v="2"/>
    <x v="84"/>
    <x v="6"/>
    <x v="9"/>
    <x v="19"/>
    <x v="1"/>
    <x v="19"/>
    <x v="1"/>
  </r>
  <r>
    <x v="1"/>
    <x v="2"/>
    <x v="85"/>
    <x v="37"/>
    <x v="19"/>
    <x v="2"/>
    <x v="1"/>
    <x v="2"/>
    <x v="1"/>
  </r>
  <r>
    <x v="1"/>
    <x v="2"/>
    <x v="81"/>
    <x v="37"/>
    <x v="11"/>
    <x v="0"/>
    <x v="0"/>
    <x v="0"/>
    <x v="0"/>
  </r>
  <r>
    <x v="1"/>
    <x v="2"/>
    <x v="18"/>
    <x v="22"/>
    <x v="2"/>
    <x v="23"/>
    <x v="1"/>
    <x v="23"/>
    <x v="1"/>
  </r>
  <r>
    <x v="1"/>
    <x v="2"/>
    <x v="81"/>
    <x v="50"/>
    <x v="9"/>
    <x v="11"/>
    <x v="0"/>
    <x v="11"/>
    <x v="0"/>
  </r>
  <r>
    <x v="1"/>
    <x v="2"/>
    <x v="86"/>
    <x v="6"/>
    <x v="4"/>
    <x v="1"/>
    <x v="1"/>
    <x v="1"/>
    <x v="1"/>
  </r>
  <r>
    <x v="1"/>
    <x v="2"/>
    <x v="87"/>
    <x v="42"/>
    <x v="13"/>
    <x v="51"/>
    <x v="0"/>
    <x v="51"/>
    <x v="0"/>
  </r>
  <r>
    <x v="1"/>
    <x v="2"/>
    <x v="88"/>
    <x v="11"/>
    <x v="10"/>
    <x v="11"/>
    <x v="1"/>
    <x v="11"/>
    <x v="1"/>
  </r>
  <r>
    <x v="1"/>
    <x v="2"/>
    <x v="89"/>
    <x v="8"/>
    <x v="32"/>
    <x v="32"/>
    <x v="0"/>
    <x v="32"/>
    <x v="0"/>
  </r>
  <r>
    <x v="1"/>
    <x v="2"/>
    <x v="90"/>
    <x v="10"/>
    <x v="5"/>
    <x v="57"/>
    <x v="1"/>
    <x v="57"/>
    <x v="1"/>
  </r>
  <r>
    <x v="1"/>
    <x v="2"/>
    <x v="91"/>
    <x v="7"/>
    <x v="32"/>
    <x v="32"/>
    <x v="0"/>
    <x v="32"/>
    <x v="0"/>
  </r>
  <r>
    <x v="1"/>
    <x v="2"/>
    <x v="92"/>
    <x v="27"/>
    <x v="11"/>
    <x v="10"/>
    <x v="0"/>
    <x v="10"/>
    <x v="0"/>
  </r>
  <r>
    <x v="1"/>
    <x v="2"/>
    <x v="93"/>
    <x v="6"/>
    <x v="0"/>
    <x v="11"/>
    <x v="1"/>
    <x v="11"/>
    <x v="1"/>
  </r>
  <r>
    <x v="1"/>
    <x v="2"/>
    <x v="94"/>
    <x v="23"/>
    <x v="5"/>
    <x v="4"/>
    <x v="1"/>
    <x v="4"/>
    <x v="1"/>
  </r>
  <r>
    <x v="1"/>
    <x v="2"/>
    <x v="95"/>
    <x v="37"/>
    <x v="2"/>
    <x v="13"/>
    <x v="0"/>
    <x v="13"/>
    <x v="0"/>
  </r>
  <r>
    <x v="1"/>
    <x v="2"/>
    <x v="96"/>
    <x v="11"/>
    <x v="0"/>
    <x v="18"/>
    <x v="1"/>
    <x v="18"/>
    <x v="1"/>
  </r>
  <r>
    <x v="1"/>
    <x v="2"/>
    <x v="97"/>
    <x v="35"/>
    <x v="8"/>
    <x v="17"/>
    <x v="0"/>
    <x v="17"/>
    <x v="0"/>
  </r>
  <r>
    <x v="1"/>
    <x v="2"/>
    <x v="66"/>
    <x v="36"/>
    <x v="16"/>
    <x v="33"/>
    <x v="1"/>
    <x v="33"/>
    <x v="1"/>
  </r>
  <r>
    <x v="1"/>
    <x v="2"/>
    <x v="98"/>
    <x v="39"/>
    <x v="4"/>
    <x v="1"/>
    <x v="0"/>
    <x v="1"/>
    <x v="0"/>
  </r>
  <r>
    <x v="1"/>
    <x v="2"/>
    <x v="99"/>
    <x v="24"/>
    <x v="2"/>
    <x v="10"/>
    <x v="1"/>
    <x v="10"/>
    <x v="1"/>
  </r>
  <r>
    <x v="1"/>
    <x v="2"/>
    <x v="89"/>
    <x v="15"/>
    <x v="11"/>
    <x v="23"/>
    <x v="0"/>
    <x v="23"/>
    <x v="0"/>
  </r>
  <r>
    <x v="1"/>
    <x v="2"/>
    <x v="91"/>
    <x v="17"/>
    <x v="23"/>
    <x v="17"/>
    <x v="1"/>
    <x v="17"/>
    <x v="1"/>
  </r>
  <r>
    <x v="1"/>
    <x v="2"/>
    <x v="100"/>
    <x v="15"/>
    <x v="23"/>
    <x v="1"/>
    <x v="0"/>
    <x v="1"/>
    <x v="0"/>
  </r>
  <r>
    <x v="1"/>
    <x v="2"/>
    <x v="94"/>
    <x v="6"/>
    <x v="8"/>
    <x v="11"/>
    <x v="1"/>
    <x v="11"/>
    <x v="1"/>
  </r>
  <r>
    <x v="1"/>
    <x v="2"/>
    <x v="101"/>
    <x v="27"/>
    <x v="26"/>
    <x v="58"/>
    <x v="0"/>
    <x v="58"/>
    <x v="0"/>
  </r>
  <r>
    <x v="1"/>
    <x v="2"/>
    <x v="28"/>
    <x v="36"/>
    <x v="16"/>
    <x v="12"/>
    <x v="1"/>
    <x v="12"/>
    <x v="1"/>
  </r>
  <r>
    <x v="1"/>
    <x v="2"/>
    <x v="102"/>
    <x v="51"/>
    <x v="32"/>
    <x v="31"/>
    <x v="0"/>
    <x v="31"/>
    <x v="0"/>
  </r>
  <r>
    <x v="1"/>
    <x v="2"/>
    <x v="16"/>
    <x v="25"/>
    <x v="16"/>
    <x v="35"/>
    <x v="1"/>
    <x v="35"/>
    <x v="1"/>
  </r>
  <r>
    <x v="1"/>
    <x v="2"/>
    <x v="103"/>
    <x v="32"/>
    <x v="28"/>
    <x v="36"/>
    <x v="0"/>
    <x v="36"/>
    <x v="0"/>
  </r>
  <r>
    <x v="1"/>
    <x v="2"/>
    <x v="104"/>
    <x v="23"/>
    <x v="2"/>
    <x v="18"/>
    <x v="0"/>
    <x v="18"/>
    <x v="0"/>
  </r>
  <r>
    <x v="1"/>
    <x v="2"/>
    <x v="105"/>
    <x v="40"/>
    <x v="29"/>
    <x v="22"/>
    <x v="1"/>
    <x v="22"/>
    <x v="1"/>
  </r>
  <r>
    <x v="1"/>
    <x v="2"/>
    <x v="106"/>
    <x v="19"/>
    <x v="2"/>
    <x v="59"/>
    <x v="1"/>
    <x v="59"/>
    <x v="1"/>
  </r>
  <r>
    <x v="1"/>
    <x v="2"/>
    <x v="89"/>
    <x v="16"/>
    <x v="31"/>
    <x v="60"/>
    <x v="0"/>
    <x v="60"/>
    <x v="0"/>
  </r>
  <r>
    <x v="1"/>
    <x v="2"/>
    <x v="107"/>
    <x v="36"/>
    <x v="24"/>
    <x v="61"/>
    <x v="1"/>
    <x v="61"/>
    <x v="1"/>
  </r>
  <r>
    <x v="1"/>
    <x v="2"/>
    <x v="108"/>
    <x v="50"/>
    <x v="26"/>
    <x v="14"/>
    <x v="0"/>
    <x v="14"/>
    <x v="0"/>
  </r>
  <r>
    <x v="1"/>
    <x v="2"/>
    <x v="109"/>
    <x v="34"/>
    <x v="31"/>
    <x v="19"/>
    <x v="0"/>
    <x v="19"/>
    <x v="0"/>
  </r>
  <r>
    <x v="1"/>
    <x v="2"/>
    <x v="110"/>
    <x v="35"/>
    <x v="16"/>
    <x v="5"/>
    <x v="1"/>
    <x v="5"/>
    <x v="1"/>
  </r>
  <r>
    <x v="1"/>
    <x v="2"/>
    <x v="111"/>
    <x v="29"/>
    <x v="21"/>
    <x v="20"/>
    <x v="0"/>
    <x v="20"/>
    <x v="0"/>
  </r>
  <r>
    <x v="1"/>
    <x v="2"/>
    <x v="112"/>
    <x v="26"/>
    <x v="21"/>
    <x v="30"/>
    <x v="1"/>
    <x v="30"/>
    <x v="1"/>
  </r>
  <r>
    <x v="1"/>
    <x v="2"/>
    <x v="111"/>
    <x v="24"/>
    <x v="21"/>
    <x v="62"/>
    <x v="1"/>
    <x v="62"/>
    <x v="1"/>
  </r>
  <r>
    <x v="1"/>
    <x v="2"/>
    <x v="113"/>
    <x v="28"/>
    <x v="32"/>
    <x v="38"/>
    <x v="0"/>
    <x v="38"/>
    <x v="0"/>
  </r>
  <r>
    <x v="1"/>
    <x v="2"/>
    <x v="114"/>
    <x v="24"/>
    <x v="5"/>
    <x v="17"/>
    <x v="1"/>
    <x v="17"/>
    <x v="1"/>
  </r>
  <r>
    <x v="1"/>
    <x v="2"/>
    <x v="109"/>
    <x v="7"/>
    <x v="33"/>
    <x v="31"/>
    <x v="0"/>
    <x v="31"/>
    <x v="0"/>
  </r>
  <r>
    <x v="1"/>
    <x v="2"/>
    <x v="115"/>
    <x v="0"/>
    <x v="16"/>
    <x v="2"/>
    <x v="0"/>
    <x v="2"/>
    <x v="0"/>
  </r>
  <r>
    <x v="1"/>
    <x v="2"/>
    <x v="116"/>
    <x v="11"/>
    <x v="9"/>
    <x v="62"/>
    <x v="1"/>
    <x v="62"/>
    <x v="1"/>
  </r>
  <r>
    <x v="1"/>
    <x v="2"/>
    <x v="117"/>
    <x v="52"/>
    <x v="29"/>
    <x v="15"/>
    <x v="1"/>
    <x v="15"/>
    <x v="1"/>
  </r>
  <r>
    <x v="1"/>
    <x v="2"/>
    <x v="118"/>
    <x v="15"/>
    <x v="32"/>
    <x v="19"/>
    <x v="0"/>
    <x v="19"/>
    <x v="0"/>
  </r>
  <r>
    <x v="1"/>
    <x v="2"/>
    <x v="119"/>
    <x v="11"/>
    <x v="4"/>
    <x v="18"/>
    <x v="1"/>
    <x v="18"/>
    <x v="1"/>
  </r>
  <r>
    <x v="1"/>
    <x v="2"/>
    <x v="120"/>
    <x v="30"/>
    <x v="28"/>
    <x v="32"/>
    <x v="0"/>
    <x v="32"/>
    <x v="0"/>
  </r>
  <r>
    <x v="1"/>
    <x v="2"/>
    <x v="16"/>
    <x v="11"/>
    <x v="16"/>
    <x v="35"/>
    <x v="1"/>
    <x v="35"/>
    <x v="1"/>
  </r>
  <r>
    <x v="1"/>
    <x v="2"/>
    <x v="121"/>
    <x v="32"/>
    <x v="11"/>
    <x v="4"/>
    <x v="0"/>
    <x v="4"/>
    <x v="0"/>
  </r>
  <r>
    <x v="1"/>
    <x v="2"/>
    <x v="84"/>
    <x v="36"/>
    <x v="8"/>
    <x v="2"/>
    <x v="1"/>
    <x v="2"/>
    <x v="1"/>
  </r>
  <r>
    <x v="1"/>
    <x v="2"/>
    <x v="122"/>
    <x v="50"/>
    <x v="28"/>
    <x v="32"/>
    <x v="0"/>
    <x v="32"/>
    <x v="0"/>
  </r>
  <r>
    <x v="1"/>
    <x v="2"/>
    <x v="123"/>
    <x v="32"/>
    <x v="25"/>
    <x v="1"/>
    <x v="0"/>
    <x v="1"/>
    <x v="0"/>
  </r>
  <r>
    <x v="1"/>
    <x v="2"/>
    <x v="68"/>
    <x v="39"/>
    <x v="13"/>
    <x v="56"/>
    <x v="1"/>
    <x v="56"/>
    <x v="1"/>
  </r>
  <r>
    <x v="1"/>
    <x v="2"/>
    <x v="124"/>
    <x v="34"/>
    <x v="34"/>
    <x v="19"/>
    <x v="0"/>
    <x v="19"/>
    <x v="0"/>
  </r>
  <r>
    <x v="1"/>
    <x v="2"/>
    <x v="125"/>
    <x v="44"/>
    <x v="15"/>
    <x v="5"/>
    <x v="1"/>
    <x v="5"/>
    <x v="1"/>
  </r>
  <r>
    <x v="1"/>
    <x v="2"/>
    <x v="119"/>
    <x v="26"/>
    <x v="2"/>
    <x v="5"/>
    <x v="1"/>
    <x v="5"/>
    <x v="1"/>
  </r>
  <r>
    <x v="1"/>
    <x v="2"/>
    <x v="126"/>
    <x v="46"/>
    <x v="35"/>
    <x v="39"/>
    <x v="0"/>
    <x v="39"/>
    <x v="0"/>
  </r>
  <r>
    <x v="1"/>
    <x v="2"/>
    <x v="127"/>
    <x v="8"/>
    <x v="25"/>
    <x v="17"/>
    <x v="1"/>
    <x v="17"/>
    <x v="1"/>
  </r>
  <r>
    <x v="1"/>
    <x v="2"/>
    <x v="128"/>
    <x v="37"/>
    <x v="4"/>
    <x v="51"/>
    <x v="0"/>
    <x v="51"/>
    <x v="0"/>
  </r>
  <r>
    <x v="1"/>
    <x v="2"/>
    <x v="113"/>
    <x v="15"/>
    <x v="31"/>
    <x v="36"/>
    <x v="0"/>
    <x v="36"/>
    <x v="0"/>
  </r>
  <r>
    <x v="1"/>
    <x v="2"/>
    <x v="123"/>
    <x v="0"/>
    <x v="9"/>
    <x v="51"/>
    <x v="1"/>
    <x v="51"/>
    <x v="1"/>
  </r>
  <r>
    <x v="2"/>
    <x v="1"/>
    <x v="85"/>
    <x v="53"/>
    <x v="36"/>
    <x v="14"/>
    <x v="1"/>
    <x v="14"/>
    <x v="1"/>
  </r>
  <r>
    <x v="2"/>
    <x v="1"/>
    <x v="80"/>
    <x v="54"/>
    <x v="37"/>
    <x v="63"/>
    <x v="0"/>
    <x v="63"/>
    <x v="0"/>
  </r>
  <r>
    <x v="2"/>
    <x v="1"/>
    <x v="129"/>
    <x v="55"/>
    <x v="31"/>
    <x v="38"/>
    <x v="1"/>
    <x v="38"/>
    <x v="1"/>
  </r>
  <r>
    <x v="2"/>
    <x v="1"/>
    <x v="80"/>
    <x v="56"/>
    <x v="38"/>
    <x v="63"/>
    <x v="0"/>
    <x v="63"/>
    <x v="0"/>
  </r>
  <r>
    <x v="2"/>
    <x v="1"/>
    <x v="106"/>
    <x v="57"/>
    <x v="39"/>
    <x v="64"/>
    <x v="0"/>
    <x v="64"/>
    <x v="0"/>
  </r>
  <r>
    <x v="2"/>
    <x v="1"/>
    <x v="79"/>
    <x v="58"/>
    <x v="31"/>
    <x v="58"/>
    <x v="1"/>
    <x v="58"/>
    <x v="1"/>
  </r>
  <r>
    <x v="2"/>
    <x v="1"/>
    <x v="82"/>
    <x v="59"/>
    <x v="36"/>
    <x v="60"/>
    <x v="1"/>
    <x v="60"/>
    <x v="1"/>
  </r>
  <r>
    <x v="2"/>
    <x v="1"/>
    <x v="99"/>
    <x v="60"/>
    <x v="40"/>
    <x v="65"/>
    <x v="0"/>
    <x v="65"/>
    <x v="0"/>
  </r>
  <r>
    <x v="2"/>
    <x v="1"/>
    <x v="130"/>
    <x v="61"/>
    <x v="41"/>
    <x v="13"/>
    <x v="1"/>
    <x v="13"/>
    <x v="1"/>
  </r>
  <r>
    <x v="2"/>
    <x v="1"/>
    <x v="125"/>
    <x v="62"/>
    <x v="39"/>
    <x v="66"/>
    <x v="0"/>
    <x v="66"/>
    <x v="0"/>
  </r>
  <r>
    <x v="2"/>
    <x v="1"/>
    <x v="28"/>
    <x v="63"/>
    <x v="42"/>
    <x v="24"/>
    <x v="1"/>
    <x v="24"/>
    <x v="1"/>
  </r>
  <r>
    <x v="2"/>
    <x v="1"/>
    <x v="109"/>
    <x v="41"/>
    <x v="43"/>
    <x v="67"/>
    <x v="0"/>
    <x v="67"/>
    <x v="0"/>
  </r>
  <r>
    <x v="2"/>
    <x v="1"/>
    <x v="112"/>
    <x v="63"/>
    <x v="42"/>
    <x v="24"/>
    <x v="1"/>
    <x v="24"/>
    <x v="1"/>
  </r>
  <r>
    <x v="2"/>
    <x v="1"/>
    <x v="131"/>
    <x v="59"/>
    <x v="44"/>
    <x v="68"/>
    <x v="0"/>
    <x v="68"/>
    <x v="0"/>
  </r>
  <r>
    <x v="2"/>
    <x v="1"/>
    <x v="53"/>
    <x v="59"/>
    <x v="31"/>
    <x v="16"/>
    <x v="1"/>
    <x v="16"/>
    <x v="1"/>
  </r>
  <r>
    <x v="2"/>
    <x v="1"/>
    <x v="122"/>
    <x v="64"/>
    <x v="45"/>
    <x v="68"/>
    <x v="0"/>
    <x v="68"/>
    <x v="0"/>
  </r>
  <r>
    <x v="2"/>
    <x v="1"/>
    <x v="9"/>
    <x v="58"/>
    <x v="31"/>
    <x v="23"/>
    <x v="1"/>
    <x v="23"/>
    <x v="1"/>
  </r>
  <r>
    <x v="2"/>
    <x v="1"/>
    <x v="95"/>
    <x v="56"/>
    <x v="46"/>
    <x v="69"/>
    <x v="0"/>
    <x v="69"/>
    <x v="0"/>
  </r>
  <r>
    <x v="2"/>
    <x v="1"/>
    <x v="110"/>
    <x v="57"/>
    <x v="41"/>
    <x v="60"/>
    <x v="1"/>
    <x v="60"/>
    <x v="1"/>
  </r>
  <r>
    <x v="2"/>
    <x v="1"/>
    <x v="129"/>
    <x v="65"/>
    <x v="47"/>
    <x v="70"/>
    <x v="0"/>
    <x v="70"/>
    <x v="0"/>
  </r>
  <r>
    <x v="2"/>
    <x v="1"/>
    <x v="123"/>
    <x v="66"/>
    <x v="38"/>
    <x v="63"/>
    <x v="0"/>
    <x v="63"/>
    <x v="0"/>
  </r>
  <r>
    <x v="2"/>
    <x v="1"/>
    <x v="132"/>
    <x v="57"/>
    <x v="39"/>
    <x v="71"/>
    <x v="1"/>
    <x v="71"/>
    <x v="1"/>
  </r>
  <r>
    <x v="2"/>
    <x v="1"/>
    <x v="79"/>
    <x v="57"/>
    <x v="44"/>
    <x v="13"/>
    <x v="1"/>
    <x v="13"/>
    <x v="1"/>
  </r>
  <r>
    <x v="2"/>
    <x v="1"/>
    <x v="133"/>
    <x v="67"/>
    <x v="39"/>
    <x v="72"/>
    <x v="0"/>
    <x v="72"/>
    <x v="0"/>
  </r>
  <r>
    <x v="2"/>
    <x v="1"/>
    <x v="57"/>
    <x v="68"/>
    <x v="39"/>
    <x v="71"/>
    <x v="1"/>
    <x v="71"/>
    <x v="1"/>
  </r>
  <r>
    <x v="2"/>
    <x v="1"/>
    <x v="85"/>
    <x v="65"/>
    <x v="39"/>
    <x v="73"/>
    <x v="0"/>
    <x v="73"/>
    <x v="0"/>
  </r>
  <r>
    <x v="2"/>
    <x v="1"/>
    <x v="134"/>
    <x v="66"/>
    <x v="43"/>
    <x v="36"/>
    <x v="2"/>
    <x v="36"/>
    <x v="2"/>
  </r>
  <r>
    <x v="2"/>
    <x v="1"/>
    <x v="135"/>
    <x v="69"/>
    <x v="39"/>
    <x v="74"/>
    <x v="0"/>
    <x v="74"/>
    <x v="0"/>
  </r>
  <r>
    <x v="2"/>
    <x v="1"/>
    <x v="136"/>
    <x v="66"/>
    <x v="31"/>
    <x v="27"/>
    <x v="1"/>
    <x v="27"/>
    <x v="1"/>
  </r>
  <r>
    <x v="2"/>
    <x v="1"/>
    <x v="80"/>
    <x v="60"/>
    <x v="48"/>
    <x v="67"/>
    <x v="0"/>
    <x v="67"/>
    <x v="0"/>
  </r>
  <r>
    <x v="2"/>
    <x v="1"/>
    <x v="137"/>
    <x v="60"/>
    <x v="47"/>
    <x v="75"/>
    <x v="0"/>
    <x v="75"/>
    <x v="0"/>
  </r>
  <r>
    <x v="2"/>
    <x v="1"/>
    <x v="54"/>
    <x v="70"/>
    <x v="41"/>
    <x v="40"/>
    <x v="1"/>
    <x v="40"/>
    <x v="1"/>
  </r>
  <r>
    <x v="2"/>
    <x v="1"/>
    <x v="132"/>
    <x v="57"/>
    <x v="35"/>
    <x v="72"/>
    <x v="1"/>
    <x v="72"/>
    <x v="1"/>
  </r>
  <r>
    <x v="2"/>
    <x v="1"/>
    <x v="138"/>
    <x v="26"/>
    <x v="37"/>
    <x v="76"/>
    <x v="0"/>
    <x v="76"/>
    <x v="0"/>
  </r>
  <r>
    <x v="2"/>
    <x v="1"/>
    <x v="139"/>
    <x v="71"/>
    <x v="48"/>
    <x v="66"/>
    <x v="1"/>
    <x v="66"/>
    <x v="1"/>
  </r>
  <r>
    <x v="2"/>
    <x v="1"/>
    <x v="131"/>
    <x v="54"/>
    <x v="48"/>
    <x v="64"/>
    <x v="0"/>
    <x v="64"/>
    <x v="0"/>
  </r>
  <r>
    <x v="2"/>
    <x v="1"/>
    <x v="140"/>
    <x v="63"/>
    <x v="44"/>
    <x v="77"/>
    <x v="1"/>
    <x v="77"/>
    <x v="1"/>
  </r>
  <r>
    <x v="2"/>
    <x v="1"/>
    <x v="141"/>
    <x v="11"/>
    <x v="40"/>
    <x v="75"/>
    <x v="0"/>
    <x v="75"/>
    <x v="0"/>
  </r>
  <r>
    <x v="2"/>
    <x v="1"/>
    <x v="142"/>
    <x v="72"/>
    <x v="27"/>
    <x v="41"/>
    <x v="1"/>
    <x v="41"/>
    <x v="1"/>
  </r>
  <r>
    <x v="2"/>
    <x v="1"/>
    <x v="129"/>
    <x v="64"/>
    <x v="27"/>
    <x v="70"/>
    <x v="0"/>
    <x v="70"/>
    <x v="0"/>
  </r>
  <r>
    <x v="2"/>
    <x v="1"/>
    <x v="69"/>
    <x v="63"/>
    <x v="27"/>
    <x v="19"/>
    <x v="1"/>
    <x v="19"/>
    <x v="1"/>
  </r>
  <r>
    <x v="2"/>
    <x v="1"/>
    <x v="128"/>
    <x v="43"/>
    <x v="49"/>
    <x v="63"/>
    <x v="0"/>
    <x v="63"/>
    <x v="0"/>
  </r>
  <r>
    <x v="2"/>
    <x v="1"/>
    <x v="143"/>
    <x v="63"/>
    <x v="31"/>
    <x v="31"/>
    <x v="1"/>
    <x v="31"/>
    <x v="1"/>
  </r>
  <r>
    <x v="2"/>
    <x v="1"/>
    <x v="128"/>
    <x v="69"/>
    <x v="43"/>
    <x v="78"/>
    <x v="0"/>
    <x v="78"/>
    <x v="0"/>
  </r>
  <r>
    <x v="2"/>
    <x v="1"/>
    <x v="91"/>
    <x v="47"/>
    <x v="47"/>
    <x v="67"/>
    <x v="0"/>
    <x v="67"/>
    <x v="0"/>
  </r>
  <r>
    <x v="2"/>
    <x v="1"/>
    <x v="144"/>
    <x v="73"/>
    <x v="45"/>
    <x v="79"/>
    <x v="1"/>
    <x v="79"/>
    <x v="1"/>
  </r>
  <r>
    <x v="2"/>
    <x v="1"/>
    <x v="112"/>
    <x v="73"/>
    <x v="31"/>
    <x v="16"/>
    <x v="1"/>
    <x v="16"/>
    <x v="1"/>
  </r>
  <r>
    <x v="2"/>
    <x v="1"/>
    <x v="91"/>
    <x v="47"/>
    <x v="49"/>
    <x v="64"/>
    <x v="0"/>
    <x v="64"/>
    <x v="0"/>
  </r>
  <r>
    <x v="2"/>
    <x v="1"/>
    <x v="145"/>
    <x v="74"/>
    <x v="44"/>
    <x v="73"/>
    <x v="1"/>
    <x v="73"/>
    <x v="1"/>
  </r>
  <r>
    <x v="2"/>
    <x v="1"/>
    <x v="84"/>
    <x v="67"/>
    <x v="39"/>
    <x v="80"/>
    <x v="0"/>
    <x v="80"/>
    <x v="0"/>
  </r>
  <r>
    <x v="2"/>
    <x v="1"/>
    <x v="86"/>
    <x v="70"/>
    <x v="31"/>
    <x v="81"/>
    <x v="1"/>
    <x v="81"/>
    <x v="1"/>
  </r>
  <r>
    <x v="2"/>
    <x v="1"/>
    <x v="97"/>
    <x v="55"/>
    <x v="48"/>
    <x v="80"/>
    <x v="0"/>
    <x v="80"/>
    <x v="0"/>
  </r>
  <r>
    <x v="2"/>
    <x v="1"/>
    <x v="132"/>
    <x v="75"/>
    <x v="31"/>
    <x v="13"/>
    <x v="1"/>
    <x v="13"/>
    <x v="1"/>
  </r>
  <r>
    <x v="2"/>
    <x v="1"/>
    <x v="114"/>
    <x v="69"/>
    <x v="49"/>
    <x v="71"/>
    <x v="0"/>
    <x v="71"/>
    <x v="0"/>
  </r>
  <r>
    <x v="2"/>
    <x v="1"/>
    <x v="79"/>
    <x v="75"/>
    <x v="45"/>
    <x v="79"/>
    <x v="1"/>
    <x v="79"/>
    <x v="1"/>
  </r>
  <r>
    <x v="2"/>
    <x v="1"/>
    <x v="146"/>
    <x v="62"/>
    <x v="48"/>
    <x v="72"/>
    <x v="0"/>
    <x v="72"/>
    <x v="0"/>
  </r>
  <r>
    <x v="2"/>
    <x v="1"/>
    <x v="147"/>
    <x v="73"/>
    <x v="27"/>
    <x v="31"/>
    <x v="1"/>
    <x v="31"/>
    <x v="1"/>
  </r>
  <r>
    <x v="2"/>
    <x v="1"/>
    <x v="112"/>
    <x v="69"/>
    <x v="48"/>
    <x v="71"/>
    <x v="0"/>
    <x v="71"/>
    <x v="0"/>
  </r>
  <r>
    <x v="2"/>
    <x v="1"/>
    <x v="66"/>
    <x v="57"/>
    <x v="27"/>
    <x v="38"/>
    <x v="1"/>
    <x v="38"/>
    <x v="1"/>
  </r>
  <r>
    <x v="2"/>
    <x v="1"/>
    <x v="148"/>
    <x v="60"/>
    <x v="50"/>
    <x v="67"/>
    <x v="0"/>
    <x v="67"/>
    <x v="0"/>
  </r>
  <r>
    <x v="2"/>
    <x v="1"/>
    <x v="143"/>
    <x v="76"/>
    <x v="27"/>
    <x v="16"/>
    <x v="1"/>
    <x v="16"/>
    <x v="1"/>
  </r>
  <r>
    <x v="2"/>
    <x v="1"/>
    <x v="110"/>
    <x v="77"/>
    <x v="46"/>
    <x v="80"/>
    <x v="0"/>
    <x v="80"/>
    <x v="0"/>
  </r>
  <r>
    <x v="2"/>
    <x v="1"/>
    <x v="119"/>
    <x v="73"/>
    <x v="42"/>
    <x v="13"/>
    <x v="1"/>
    <x v="13"/>
    <x v="1"/>
  </r>
  <r>
    <x v="2"/>
    <x v="1"/>
    <x v="149"/>
    <x v="64"/>
    <x v="51"/>
    <x v="74"/>
    <x v="0"/>
    <x v="74"/>
    <x v="0"/>
  </r>
  <r>
    <x v="2"/>
    <x v="1"/>
    <x v="53"/>
    <x v="70"/>
    <x v="40"/>
    <x v="40"/>
    <x v="1"/>
    <x v="40"/>
    <x v="1"/>
  </r>
  <r>
    <x v="2"/>
    <x v="1"/>
    <x v="116"/>
    <x v="40"/>
    <x v="37"/>
    <x v="63"/>
    <x v="0"/>
    <x v="63"/>
    <x v="0"/>
  </r>
  <r>
    <x v="2"/>
    <x v="1"/>
    <x v="110"/>
    <x v="75"/>
    <x v="42"/>
    <x v="24"/>
    <x v="2"/>
    <x v="24"/>
    <x v="2"/>
  </r>
  <r>
    <x v="2"/>
    <x v="1"/>
    <x v="100"/>
    <x v="38"/>
    <x v="52"/>
    <x v="82"/>
    <x v="0"/>
    <x v="82"/>
    <x v="0"/>
  </r>
  <r>
    <x v="2"/>
    <x v="1"/>
    <x v="127"/>
    <x v="70"/>
    <x v="48"/>
    <x v="40"/>
    <x v="1"/>
    <x v="40"/>
    <x v="1"/>
  </r>
  <r>
    <x v="2"/>
    <x v="1"/>
    <x v="120"/>
    <x v="69"/>
    <x v="53"/>
    <x v="67"/>
    <x v="0"/>
    <x v="67"/>
    <x v="0"/>
  </r>
  <r>
    <x v="2"/>
    <x v="1"/>
    <x v="150"/>
    <x v="69"/>
    <x v="43"/>
    <x v="78"/>
    <x v="1"/>
    <x v="78"/>
    <x v="1"/>
  </r>
  <r>
    <x v="2"/>
    <x v="1"/>
    <x v="94"/>
    <x v="78"/>
    <x v="46"/>
    <x v="71"/>
    <x v="0"/>
    <x v="71"/>
    <x v="0"/>
  </r>
  <r>
    <x v="2"/>
    <x v="1"/>
    <x v="136"/>
    <x v="78"/>
    <x v="46"/>
    <x v="73"/>
    <x v="0"/>
    <x v="73"/>
    <x v="0"/>
  </r>
  <r>
    <x v="2"/>
    <x v="1"/>
    <x v="79"/>
    <x v="71"/>
    <x v="45"/>
    <x v="65"/>
    <x v="1"/>
    <x v="65"/>
    <x v="1"/>
  </r>
  <r>
    <x v="2"/>
    <x v="1"/>
    <x v="94"/>
    <x v="69"/>
    <x v="43"/>
    <x v="40"/>
    <x v="1"/>
    <x v="40"/>
    <x v="1"/>
  </r>
  <r>
    <x v="2"/>
    <x v="1"/>
    <x v="151"/>
    <x v="43"/>
    <x v="37"/>
    <x v="82"/>
    <x v="0"/>
    <x v="82"/>
    <x v="0"/>
  </r>
  <r>
    <x v="2"/>
    <x v="1"/>
    <x v="105"/>
    <x v="70"/>
    <x v="41"/>
    <x v="27"/>
    <x v="1"/>
    <x v="27"/>
    <x v="1"/>
  </r>
  <r>
    <x v="2"/>
    <x v="1"/>
    <x v="152"/>
    <x v="54"/>
    <x v="48"/>
    <x v="83"/>
    <x v="0"/>
    <x v="83"/>
    <x v="0"/>
  </r>
  <r>
    <x v="2"/>
    <x v="1"/>
    <x v="84"/>
    <x v="76"/>
    <x v="39"/>
    <x v="78"/>
    <x v="1"/>
    <x v="78"/>
    <x v="1"/>
  </r>
  <r>
    <x v="2"/>
    <x v="1"/>
    <x v="84"/>
    <x v="52"/>
    <x v="53"/>
    <x v="84"/>
    <x v="0"/>
    <x v="84"/>
    <x v="0"/>
  </r>
  <r>
    <x v="2"/>
    <x v="1"/>
    <x v="139"/>
    <x v="57"/>
    <x v="33"/>
    <x v="85"/>
    <x v="1"/>
    <x v="85"/>
    <x v="1"/>
  </r>
  <r>
    <x v="2"/>
    <x v="1"/>
    <x v="153"/>
    <x v="78"/>
    <x v="46"/>
    <x v="86"/>
    <x v="0"/>
    <x v="86"/>
    <x v="0"/>
  </r>
  <r>
    <x v="2"/>
    <x v="1"/>
    <x v="154"/>
    <x v="59"/>
    <x v="33"/>
    <x v="43"/>
    <x v="1"/>
    <x v="43"/>
    <x v="1"/>
  </r>
  <r>
    <x v="2"/>
    <x v="1"/>
    <x v="80"/>
    <x v="47"/>
    <x v="50"/>
    <x v="70"/>
    <x v="0"/>
    <x v="70"/>
    <x v="0"/>
  </r>
  <r>
    <x v="2"/>
    <x v="1"/>
    <x v="145"/>
    <x v="76"/>
    <x v="33"/>
    <x v="78"/>
    <x v="1"/>
    <x v="78"/>
    <x v="1"/>
  </r>
  <r>
    <x v="2"/>
    <x v="1"/>
    <x v="113"/>
    <x v="11"/>
    <x v="54"/>
    <x v="87"/>
    <x v="0"/>
    <x v="87"/>
    <x v="0"/>
  </r>
  <r>
    <x v="2"/>
    <x v="1"/>
    <x v="155"/>
    <x v="75"/>
    <x v="38"/>
    <x v="27"/>
    <x v="1"/>
    <x v="27"/>
    <x v="1"/>
  </r>
  <r>
    <x v="2"/>
    <x v="1"/>
    <x v="81"/>
    <x v="70"/>
    <x v="38"/>
    <x v="80"/>
    <x v="0"/>
    <x v="80"/>
    <x v="0"/>
  </r>
  <r>
    <x v="2"/>
    <x v="1"/>
    <x v="105"/>
    <x v="79"/>
    <x v="33"/>
    <x v="88"/>
    <x v="1"/>
    <x v="88"/>
    <x v="1"/>
  </r>
  <r>
    <x v="2"/>
    <x v="1"/>
    <x v="156"/>
    <x v="26"/>
    <x v="37"/>
    <x v="67"/>
    <x v="0"/>
    <x v="67"/>
    <x v="0"/>
  </r>
  <r>
    <x v="2"/>
    <x v="1"/>
    <x v="105"/>
    <x v="69"/>
    <x v="38"/>
    <x v="77"/>
    <x v="1"/>
    <x v="77"/>
    <x v="1"/>
  </r>
  <r>
    <x v="2"/>
    <x v="1"/>
    <x v="121"/>
    <x v="10"/>
    <x v="54"/>
    <x v="64"/>
    <x v="0"/>
    <x v="64"/>
    <x v="0"/>
  </r>
  <r>
    <x v="2"/>
    <x v="1"/>
    <x v="112"/>
    <x v="57"/>
    <x v="33"/>
    <x v="78"/>
    <x v="1"/>
    <x v="78"/>
    <x v="1"/>
  </r>
  <r>
    <x v="2"/>
    <x v="1"/>
    <x v="100"/>
    <x v="41"/>
    <x v="50"/>
    <x v="74"/>
    <x v="0"/>
    <x v="74"/>
    <x v="0"/>
  </r>
  <r>
    <x v="2"/>
    <x v="1"/>
    <x v="134"/>
    <x v="80"/>
    <x v="42"/>
    <x v="81"/>
    <x v="1"/>
    <x v="81"/>
    <x v="1"/>
  </r>
  <r>
    <x v="2"/>
    <x v="1"/>
    <x v="113"/>
    <x v="64"/>
    <x v="55"/>
    <x v="65"/>
    <x v="0"/>
    <x v="65"/>
    <x v="0"/>
  </r>
  <r>
    <x v="2"/>
    <x v="1"/>
    <x v="157"/>
    <x v="67"/>
    <x v="43"/>
    <x v="89"/>
    <x v="0"/>
    <x v="89"/>
    <x v="0"/>
  </r>
  <r>
    <x v="2"/>
    <x v="1"/>
    <x v="107"/>
    <x v="59"/>
    <x v="47"/>
    <x v="88"/>
    <x v="1"/>
    <x v="88"/>
    <x v="1"/>
  </r>
  <r>
    <x v="2"/>
    <x v="1"/>
    <x v="131"/>
    <x v="75"/>
    <x v="28"/>
    <x v="85"/>
    <x v="1"/>
    <x v="85"/>
    <x v="1"/>
  </r>
  <r>
    <x v="2"/>
    <x v="1"/>
    <x v="152"/>
    <x v="44"/>
    <x v="49"/>
    <x v="75"/>
    <x v="0"/>
    <x v="75"/>
    <x v="0"/>
  </r>
  <r>
    <x v="2"/>
    <x v="1"/>
    <x v="97"/>
    <x v="69"/>
    <x v="40"/>
    <x v="81"/>
    <x v="1"/>
    <x v="81"/>
    <x v="1"/>
  </r>
  <r>
    <x v="2"/>
    <x v="1"/>
    <x v="158"/>
    <x v="26"/>
    <x v="54"/>
    <x v="87"/>
    <x v="0"/>
    <x v="87"/>
    <x v="0"/>
  </r>
  <r>
    <x v="2"/>
    <x v="1"/>
    <x v="159"/>
    <x v="49"/>
    <x v="39"/>
    <x v="90"/>
    <x v="1"/>
    <x v="90"/>
    <x v="1"/>
  </r>
  <r>
    <x v="2"/>
    <x v="1"/>
    <x v="139"/>
    <x v="69"/>
    <x v="54"/>
    <x v="91"/>
    <x v="0"/>
    <x v="91"/>
    <x v="0"/>
  </r>
  <r>
    <x v="2"/>
    <x v="1"/>
    <x v="137"/>
    <x v="76"/>
    <x v="43"/>
    <x v="43"/>
    <x v="2"/>
    <x v="43"/>
    <x v="2"/>
  </r>
  <r>
    <x v="2"/>
    <x v="1"/>
    <x v="125"/>
    <x v="41"/>
    <x v="39"/>
    <x v="91"/>
    <x v="0"/>
    <x v="91"/>
    <x v="0"/>
  </r>
  <r>
    <x v="2"/>
    <x v="1"/>
    <x v="160"/>
    <x v="80"/>
    <x v="31"/>
    <x v="40"/>
    <x v="1"/>
    <x v="40"/>
    <x v="1"/>
  </r>
  <r>
    <x v="2"/>
    <x v="1"/>
    <x v="161"/>
    <x v="67"/>
    <x v="40"/>
    <x v="91"/>
    <x v="0"/>
    <x v="91"/>
    <x v="0"/>
  </r>
  <r>
    <x v="2"/>
    <x v="1"/>
    <x v="130"/>
    <x v="79"/>
    <x v="27"/>
    <x v="92"/>
    <x v="1"/>
    <x v="92"/>
    <x v="1"/>
  </r>
  <r>
    <x v="2"/>
    <x v="1"/>
    <x v="117"/>
    <x v="65"/>
    <x v="41"/>
    <x v="91"/>
    <x v="0"/>
    <x v="91"/>
    <x v="0"/>
  </r>
  <r>
    <x v="2"/>
    <x v="1"/>
    <x v="91"/>
    <x v="56"/>
    <x v="43"/>
    <x v="71"/>
    <x v="1"/>
    <x v="71"/>
    <x v="1"/>
  </r>
  <r>
    <x v="2"/>
    <x v="1"/>
    <x v="116"/>
    <x v="47"/>
    <x v="52"/>
    <x v="84"/>
    <x v="0"/>
    <x v="84"/>
    <x v="0"/>
  </r>
  <r>
    <x v="2"/>
    <x v="1"/>
    <x v="127"/>
    <x v="56"/>
    <x v="44"/>
    <x v="24"/>
    <x v="1"/>
    <x v="24"/>
    <x v="1"/>
  </r>
  <r>
    <x v="2"/>
    <x v="1"/>
    <x v="115"/>
    <x v="54"/>
    <x v="37"/>
    <x v="91"/>
    <x v="0"/>
    <x v="91"/>
    <x v="0"/>
  </r>
  <r>
    <x v="2"/>
    <x v="1"/>
    <x v="110"/>
    <x v="55"/>
    <x v="45"/>
    <x v="93"/>
    <x v="1"/>
    <x v="93"/>
    <x v="1"/>
  </r>
  <r>
    <x v="2"/>
    <x v="1"/>
    <x v="162"/>
    <x v="43"/>
    <x v="37"/>
    <x v="68"/>
    <x v="0"/>
    <x v="68"/>
    <x v="0"/>
  </r>
  <r>
    <x v="2"/>
    <x v="1"/>
    <x v="134"/>
    <x v="64"/>
    <x v="45"/>
    <x v="88"/>
    <x v="3"/>
    <x v="88"/>
    <x v="3"/>
  </r>
  <r>
    <x v="2"/>
    <x v="1"/>
    <x v="163"/>
    <x v="38"/>
    <x v="47"/>
    <x v="83"/>
    <x v="0"/>
    <x v="83"/>
    <x v="0"/>
  </r>
  <r>
    <x v="2"/>
    <x v="1"/>
    <x v="159"/>
    <x v="63"/>
    <x v="42"/>
    <x v="89"/>
    <x v="1"/>
    <x v="89"/>
    <x v="1"/>
  </r>
  <r>
    <x v="2"/>
    <x v="1"/>
    <x v="3"/>
    <x v="3"/>
    <x v="3"/>
    <x v="3"/>
    <x v="2"/>
    <x v="3"/>
    <x v="2"/>
  </r>
  <r>
    <x v="2"/>
    <x v="1"/>
    <x v="125"/>
    <x v="66"/>
    <x v="39"/>
    <x v="81"/>
    <x v="1"/>
    <x v="81"/>
    <x v="1"/>
  </r>
  <r>
    <x v="2"/>
    <x v="1"/>
    <x v="148"/>
    <x v="64"/>
    <x v="47"/>
    <x v="94"/>
    <x v="0"/>
    <x v="94"/>
    <x v="0"/>
  </r>
  <r>
    <x v="2"/>
    <x v="1"/>
    <x v="84"/>
    <x v="71"/>
    <x v="33"/>
    <x v="65"/>
    <x v="1"/>
    <x v="65"/>
    <x v="1"/>
  </r>
  <r>
    <x v="2"/>
    <x v="1"/>
    <x v="164"/>
    <x v="41"/>
    <x v="44"/>
    <x v="64"/>
    <x v="0"/>
    <x v="6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vtSummary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4" firstHeaderRow="0" firstDataRow="1" firstDataCol="0"/>
  <pivotFields count="9">
    <pivotField dataField="1" compact="0" showAll="0">
      <items count="4">
        <item x="0"/>
        <item x="1"/>
        <item x="2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compact="0" showAll="0">
      <items count="1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t="default"/>
      </items>
    </pivotField>
    <pivotField compact="0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0"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species" fld="0" subtotal="count" baseField="0" baseItem="0"/>
    <dataField name="Count of island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island_div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9:E13" firstHeaderRow="1" firstDataRow="1" firstDataCol="1"/>
  <pivotFields count="9">
    <pivotField axis="axisRow" dataField="1" compact="0" sortType="descending" showAll="0">
      <items count="4">
        <item x="0"/>
        <item x="1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4">
        <item x="0"/>
        <item x="1"/>
        <item x="2"/>
        <item t="default"/>
      </items>
    </pivotField>
    <pivotField compact="0" showAll="0">
      <items count="1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t="default"/>
      </items>
    </pivotField>
    <pivotField compact="0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0"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unt of species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species_div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18:E22" firstHeaderRow="1" firstDataRow="1" firstDataCol="1"/>
  <pivotFields count="9">
    <pivotField compact="0" showAll="0">
      <items count="4">
        <item x="0"/>
        <item x="1"/>
        <item x="2"/>
        <item t="default"/>
      </items>
    </pivotField>
    <pivotField axis="axisRow" dataField="1" compact="0" showAll="0">
      <items count="4">
        <item x="0"/>
        <item x="1"/>
        <item x="2"/>
        <item t="default"/>
      </items>
    </pivotField>
    <pivotField compact="0" showAll="0">
      <items count="1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t="default"/>
      </items>
    </pivotField>
    <pivotField compact="0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0"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sland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D25:I30" firstHeaderRow="1" firstDataRow="2" firstDataCol="1"/>
  <pivotFields count="9">
    <pivotField axis="axisRow"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t="default"/>
      </items>
    </pivotField>
    <pivotField compact="0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dataField="1" compact="0"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axis="axisCol" compact="0"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flipper_length_mm" fld="4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D33:H38" firstHeaderRow="1" firstDataRow="2" firstDataCol="1"/>
  <pivotFields count="9">
    <pivotField axis="axisCol" compact="0" showAll="0">
      <items count="4">
        <item x="0"/>
        <item x="1"/>
        <item x="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t="default"/>
      </items>
    </pivotField>
    <pivotField compact="0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dataField="1" compact="0"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Average of flipper_length_mm" fld="4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x" sourceName="sex">
  <pivotTables>
    <pivotTable tabId="3" name="PivotTable6"/>
    <pivotTable tabId="3" name="island_div"/>
    <pivotTable tabId="3" name="species_div"/>
    <pivotTable tabId="3" name="PivotTable5"/>
  </pivotTables>
  <data>
    <tabular pivotCacheId="1">
      <items count="4">
        <i x="3" s="1"/>
        <i x="1" s="1"/>
        <i x="0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x" cache="Slicer_sex" caption="sex" rowHeight="225425"/>
</slicers>
</file>

<file path=xl/tables/table1.xml><?xml version="1.0" encoding="utf-8"?>
<table xmlns="http://schemas.openxmlformats.org/spreadsheetml/2006/main" id="1" name="Table1" displayName="Table1" ref="A1:I35" totalsRowShown="0">
  <autoFilter xmlns:etc="http://www.wps.cn/officeDocument/2017/etCustomData" ref="A1:I35" etc:filterBottomFollowUsedRange="0"/>
  <tableColumns count="9">
    <tableColumn id="1" name="species"/>
    <tableColumn id="2" name="island"/>
    <tableColumn id="3" name="culmen_length_mm"/>
    <tableColumn id="4" name="culmen_depth_mm"/>
    <tableColumn id="5" name="flipper_length_mm"/>
    <tableColumn id="6" name="body_mass_g"/>
    <tableColumn id="7" name="sex"/>
    <tableColumn id="8" name="body_mass_kg"/>
    <tableColumn id="9" name="sex_class 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5"/>
  <sheetViews>
    <sheetView zoomScaleSheetLayoutView="60" workbookViewId="0">
      <selection activeCell="I18" sqref="I18"/>
    </sheetView>
  </sheetViews>
  <sheetFormatPr defaultColWidth="10.2857142857143" defaultRowHeight="1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39.1</v>
      </c>
      <c r="D2">
        <v>18.7</v>
      </c>
      <c r="E2">
        <v>181</v>
      </c>
      <c r="F2">
        <v>3750</v>
      </c>
      <c r="G2" t="s">
        <v>9</v>
      </c>
    </row>
    <row r="3" spans="1:7">
      <c r="A3" t="s">
        <v>7</v>
      </c>
      <c r="B3" t="s">
        <v>8</v>
      </c>
      <c r="C3">
        <v>39.5</v>
      </c>
      <c r="D3">
        <v>17.4</v>
      </c>
      <c r="E3">
        <v>186</v>
      </c>
      <c r="F3">
        <v>3800</v>
      </c>
      <c r="G3" t="s">
        <v>10</v>
      </c>
    </row>
    <row r="4" spans="1:7">
      <c r="A4" t="s">
        <v>7</v>
      </c>
      <c r="B4" t="s">
        <v>8</v>
      </c>
      <c r="C4">
        <v>40.3</v>
      </c>
      <c r="D4">
        <v>18</v>
      </c>
      <c r="E4">
        <v>195</v>
      </c>
      <c r="F4">
        <v>3250</v>
      </c>
      <c r="G4" t="s">
        <v>10</v>
      </c>
    </row>
    <row r="5" spans="1:7">
      <c r="A5" t="s">
        <v>7</v>
      </c>
      <c r="B5" t="s">
        <v>8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36.7</v>
      </c>
      <c r="D6">
        <v>19.3</v>
      </c>
      <c r="E6">
        <v>193</v>
      </c>
      <c r="F6">
        <v>3450</v>
      </c>
      <c r="G6" t="s">
        <v>10</v>
      </c>
    </row>
    <row r="7" spans="1:7">
      <c r="A7" t="s">
        <v>7</v>
      </c>
      <c r="B7" t="s">
        <v>8</v>
      </c>
      <c r="C7">
        <v>39.3</v>
      </c>
      <c r="D7">
        <v>20.6</v>
      </c>
      <c r="E7">
        <v>190</v>
      </c>
      <c r="F7">
        <v>3650</v>
      </c>
      <c r="G7" t="s">
        <v>9</v>
      </c>
    </row>
    <row r="8" spans="1:7">
      <c r="A8" t="s">
        <v>7</v>
      </c>
      <c r="B8" t="s">
        <v>8</v>
      </c>
      <c r="C8">
        <v>38.9</v>
      </c>
      <c r="D8">
        <v>17.8</v>
      </c>
      <c r="E8">
        <v>181</v>
      </c>
      <c r="F8">
        <v>3625</v>
      </c>
      <c r="G8" t="s">
        <v>10</v>
      </c>
    </row>
    <row r="9" spans="1:7">
      <c r="A9" t="s">
        <v>7</v>
      </c>
      <c r="B9" t="s">
        <v>8</v>
      </c>
      <c r="C9">
        <v>39.2</v>
      </c>
      <c r="D9">
        <v>19.6</v>
      </c>
      <c r="E9">
        <v>195</v>
      </c>
      <c r="F9">
        <v>4675</v>
      </c>
      <c r="G9" t="s">
        <v>9</v>
      </c>
    </row>
    <row r="10" spans="1:7">
      <c r="A10" t="s">
        <v>7</v>
      </c>
      <c r="B10" t="s">
        <v>8</v>
      </c>
      <c r="C10">
        <v>34.1</v>
      </c>
      <c r="D10">
        <v>18.1</v>
      </c>
      <c r="E10">
        <v>193</v>
      </c>
      <c r="F10">
        <v>3475</v>
      </c>
      <c r="G10" t="s">
        <v>11</v>
      </c>
    </row>
    <row r="11" spans="1:7">
      <c r="A11" t="s">
        <v>7</v>
      </c>
      <c r="B11" t="s">
        <v>8</v>
      </c>
      <c r="C11">
        <v>42</v>
      </c>
      <c r="D11">
        <v>20.2</v>
      </c>
      <c r="E11">
        <v>190</v>
      </c>
      <c r="F11">
        <v>4250</v>
      </c>
      <c r="G11" t="s">
        <v>11</v>
      </c>
    </row>
    <row r="12" spans="1:7">
      <c r="A12" t="s">
        <v>7</v>
      </c>
      <c r="B12" t="s">
        <v>8</v>
      </c>
      <c r="C12">
        <v>37.8</v>
      </c>
      <c r="D12">
        <v>17.1</v>
      </c>
      <c r="E12">
        <v>186</v>
      </c>
      <c r="F12">
        <v>3300</v>
      </c>
      <c r="G12" t="s">
        <v>11</v>
      </c>
    </row>
    <row r="13" spans="1:7">
      <c r="A13" t="s">
        <v>7</v>
      </c>
      <c r="B13" t="s">
        <v>8</v>
      </c>
      <c r="C13">
        <v>37.8</v>
      </c>
      <c r="D13">
        <v>17.3</v>
      </c>
      <c r="E13">
        <v>180</v>
      </c>
      <c r="F13">
        <v>3700</v>
      </c>
      <c r="G13" t="s">
        <v>11</v>
      </c>
    </row>
    <row r="14" spans="1:7">
      <c r="A14" t="s">
        <v>7</v>
      </c>
      <c r="B14" t="s">
        <v>8</v>
      </c>
      <c r="C14">
        <v>41.1</v>
      </c>
      <c r="D14">
        <v>17.6</v>
      </c>
      <c r="E14">
        <v>182</v>
      </c>
      <c r="F14">
        <v>3200</v>
      </c>
      <c r="G14" t="s">
        <v>10</v>
      </c>
    </row>
    <row r="15" spans="1:7">
      <c r="A15" t="s">
        <v>7</v>
      </c>
      <c r="B15" t="s">
        <v>8</v>
      </c>
      <c r="C15">
        <v>38.6</v>
      </c>
      <c r="D15">
        <v>21.2</v>
      </c>
      <c r="E15">
        <v>191</v>
      </c>
      <c r="F15">
        <v>3800</v>
      </c>
      <c r="G15" t="s">
        <v>9</v>
      </c>
    </row>
    <row r="16" spans="1:7">
      <c r="A16" t="s">
        <v>7</v>
      </c>
      <c r="B16" t="s">
        <v>8</v>
      </c>
      <c r="C16">
        <v>34.6</v>
      </c>
      <c r="D16">
        <v>21.1</v>
      </c>
      <c r="E16">
        <v>198</v>
      </c>
      <c r="F16">
        <v>4400</v>
      </c>
      <c r="G16" t="s">
        <v>9</v>
      </c>
    </row>
    <row r="17" spans="1:7">
      <c r="A17" t="s">
        <v>7</v>
      </c>
      <c r="B17" t="s">
        <v>8</v>
      </c>
      <c r="C17">
        <v>36.6</v>
      </c>
      <c r="D17">
        <v>17.8</v>
      </c>
      <c r="E17">
        <v>185</v>
      </c>
      <c r="F17">
        <v>3700</v>
      </c>
      <c r="G17" t="s">
        <v>10</v>
      </c>
    </row>
    <row r="18" spans="1:7">
      <c r="A18" t="s">
        <v>7</v>
      </c>
      <c r="B18" t="s">
        <v>8</v>
      </c>
      <c r="C18">
        <v>38.7</v>
      </c>
      <c r="D18">
        <v>19</v>
      </c>
      <c r="E18">
        <v>195</v>
      </c>
      <c r="F18">
        <v>3450</v>
      </c>
      <c r="G18" t="s">
        <v>10</v>
      </c>
    </row>
    <row r="19" spans="1:7">
      <c r="A19" t="s">
        <v>7</v>
      </c>
      <c r="B19" t="s">
        <v>8</v>
      </c>
      <c r="C19">
        <v>42.5</v>
      </c>
      <c r="D19">
        <v>20.7</v>
      </c>
      <c r="E19">
        <v>197</v>
      </c>
      <c r="F19">
        <v>4500</v>
      </c>
      <c r="G19" t="s">
        <v>9</v>
      </c>
    </row>
    <row r="20" spans="1:7">
      <c r="A20" t="s">
        <v>7</v>
      </c>
      <c r="B20" t="s">
        <v>8</v>
      </c>
      <c r="C20">
        <v>34.4</v>
      </c>
      <c r="D20">
        <v>18.4</v>
      </c>
      <c r="E20">
        <v>184</v>
      </c>
      <c r="F20">
        <v>3325</v>
      </c>
      <c r="G20" t="s">
        <v>10</v>
      </c>
    </row>
    <row r="21" spans="1:7">
      <c r="A21" t="s">
        <v>7</v>
      </c>
      <c r="B21" t="s">
        <v>8</v>
      </c>
      <c r="C21">
        <v>46</v>
      </c>
      <c r="D21">
        <v>21.5</v>
      </c>
      <c r="E21">
        <v>194</v>
      </c>
      <c r="F21">
        <v>4200</v>
      </c>
      <c r="G21" t="s">
        <v>9</v>
      </c>
    </row>
    <row r="22" spans="1:7">
      <c r="A22" t="s">
        <v>7</v>
      </c>
      <c r="B22" t="s">
        <v>12</v>
      </c>
      <c r="C22">
        <v>37.8</v>
      </c>
      <c r="D22">
        <v>18.3</v>
      </c>
      <c r="E22">
        <v>174</v>
      </c>
      <c r="F22">
        <v>3400</v>
      </c>
      <c r="G22" t="s">
        <v>10</v>
      </c>
    </row>
    <row r="23" spans="1:7">
      <c r="A23" t="s">
        <v>7</v>
      </c>
      <c r="B23" t="s">
        <v>12</v>
      </c>
      <c r="C23">
        <v>37.7</v>
      </c>
      <c r="D23">
        <v>18.7</v>
      </c>
      <c r="E23">
        <v>180</v>
      </c>
      <c r="F23">
        <v>3600</v>
      </c>
      <c r="G23" t="s">
        <v>9</v>
      </c>
    </row>
    <row r="24" spans="1:7">
      <c r="A24" t="s">
        <v>7</v>
      </c>
      <c r="B24" t="s">
        <v>12</v>
      </c>
      <c r="C24">
        <v>35.9</v>
      </c>
      <c r="D24">
        <v>19.2</v>
      </c>
      <c r="E24">
        <v>189</v>
      </c>
      <c r="F24">
        <v>3800</v>
      </c>
      <c r="G24" t="s">
        <v>10</v>
      </c>
    </row>
    <row r="25" spans="1:7">
      <c r="A25" t="s">
        <v>7</v>
      </c>
      <c r="B25" t="s">
        <v>12</v>
      </c>
      <c r="C25">
        <v>38.2</v>
      </c>
      <c r="D25">
        <v>18.1</v>
      </c>
      <c r="E25">
        <v>185</v>
      </c>
      <c r="F25">
        <v>3950</v>
      </c>
      <c r="G25" t="s">
        <v>9</v>
      </c>
    </row>
    <row r="26" spans="1:7">
      <c r="A26" t="s">
        <v>7</v>
      </c>
      <c r="B26" t="s">
        <v>12</v>
      </c>
      <c r="C26">
        <v>38.8</v>
      </c>
      <c r="D26">
        <v>17.2</v>
      </c>
      <c r="E26">
        <v>180</v>
      </c>
      <c r="F26">
        <v>3800</v>
      </c>
      <c r="G26" t="s">
        <v>9</v>
      </c>
    </row>
    <row r="27" spans="1:7">
      <c r="A27" t="s">
        <v>7</v>
      </c>
      <c r="B27" t="s">
        <v>12</v>
      </c>
      <c r="C27">
        <v>35.3</v>
      </c>
      <c r="D27">
        <v>18.9</v>
      </c>
      <c r="E27">
        <v>187</v>
      </c>
      <c r="F27">
        <v>3800</v>
      </c>
      <c r="G27" t="s">
        <v>10</v>
      </c>
    </row>
    <row r="28" spans="1:7">
      <c r="A28" t="s">
        <v>7</v>
      </c>
      <c r="B28" t="s">
        <v>12</v>
      </c>
      <c r="C28">
        <v>40.6</v>
      </c>
      <c r="D28">
        <v>18.6</v>
      </c>
      <c r="E28">
        <v>183</v>
      </c>
      <c r="F28">
        <v>3550</v>
      </c>
      <c r="G28" t="s">
        <v>9</v>
      </c>
    </row>
    <row r="29" spans="1:7">
      <c r="A29" t="s">
        <v>7</v>
      </c>
      <c r="B29" t="s">
        <v>12</v>
      </c>
      <c r="C29">
        <v>40.5</v>
      </c>
      <c r="D29">
        <v>17.9</v>
      </c>
      <c r="E29">
        <v>187</v>
      </c>
      <c r="F29">
        <v>3200</v>
      </c>
      <c r="G29" t="s">
        <v>10</v>
      </c>
    </row>
    <row r="30" spans="1:7">
      <c r="A30" t="s">
        <v>7</v>
      </c>
      <c r="B30" t="s">
        <v>12</v>
      </c>
      <c r="C30">
        <v>37.9</v>
      </c>
      <c r="D30">
        <v>18.6</v>
      </c>
      <c r="E30">
        <v>172</v>
      </c>
      <c r="F30">
        <v>3150</v>
      </c>
      <c r="G30" t="s">
        <v>10</v>
      </c>
    </row>
    <row r="31" spans="1:7">
      <c r="A31" t="s">
        <v>7</v>
      </c>
      <c r="B31" t="s">
        <v>12</v>
      </c>
      <c r="C31">
        <v>40.5</v>
      </c>
      <c r="D31">
        <v>18.9</v>
      </c>
      <c r="E31">
        <v>180</v>
      </c>
      <c r="F31">
        <v>3950</v>
      </c>
      <c r="G31" t="s">
        <v>9</v>
      </c>
    </row>
    <row r="32" spans="1:7">
      <c r="A32" t="s">
        <v>7</v>
      </c>
      <c r="B32" t="s">
        <v>13</v>
      </c>
      <c r="C32">
        <v>39.5</v>
      </c>
      <c r="D32">
        <v>16.7</v>
      </c>
      <c r="E32">
        <v>178</v>
      </c>
      <c r="F32">
        <v>3250</v>
      </c>
      <c r="G32" t="s">
        <v>10</v>
      </c>
    </row>
    <row r="33" spans="1:7">
      <c r="A33" t="s">
        <v>7</v>
      </c>
      <c r="B33" t="s">
        <v>13</v>
      </c>
      <c r="C33">
        <v>37.2</v>
      </c>
      <c r="D33">
        <v>18.1</v>
      </c>
      <c r="E33">
        <v>178</v>
      </c>
      <c r="F33">
        <v>3900</v>
      </c>
      <c r="G33" t="s">
        <v>9</v>
      </c>
    </row>
    <row r="34" spans="1:7">
      <c r="A34" t="s">
        <v>7</v>
      </c>
      <c r="B34" t="s">
        <v>13</v>
      </c>
      <c r="C34">
        <v>39.5</v>
      </c>
      <c r="D34">
        <v>17.8</v>
      </c>
      <c r="E34">
        <v>188</v>
      </c>
      <c r="F34">
        <v>3300</v>
      </c>
      <c r="G34" t="s">
        <v>10</v>
      </c>
    </row>
    <row r="35" spans="1:7">
      <c r="A35" t="s">
        <v>7</v>
      </c>
      <c r="B35" t="s">
        <v>13</v>
      </c>
      <c r="C35">
        <v>40.9</v>
      </c>
      <c r="D35">
        <v>18.9</v>
      </c>
      <c r="E35">
        <v>184</v>
      </c>
      <c r="F35">
        <v>3900</v>
      </c>
      <c r="G35" t="s">
        <v>9</v>
      </c>
    </row>
    <row r="36" spans="1:7">
      <c r="A36" t="s">
        <v>7</v>
      </c>
      <c r="B36" t="s">
        <v>13</v>
      </c>
      <c r="C36">
        <v>36.4</v>
      </c>
      <c r="D36">
        <v>17</v>
      </c>
      <c r="E36">
        <v>195</v>
      </c>
      <c r="F36">
        <v>3325</v>
      </c>
      <c r="G36" t="s">
        <v>10</v>
      </c>
    </row>
    <row r="37" spans="1:7">
      <c r="A37" t="s">
        <v>7</v>
      </c>
      <c r="B37" t="s">
        <v>13</v>
      </c>
      <c r="C37">
        <v>39.2</v>
      </c>
      <c r="D37">
        <v>21.1</v>
      </c>
      <c r="E37">
        <v>196</v>
      </c>
      <c r="F37">
        <v>4150</v>
      </c>
      <c r="G37" t="s">
        <v>9</v>
      </c>
    </row>
    <row r="38" spans="1:7">
      <c r="A38" t="s">
        <v>7</v>
      </c>
      <c r="B38" t="s">
        <v>13</v>
      </c>
      <c r="C38">
        <v>38.8</v>
      </c>
      <c r="D38">
        <v>20</v>
      </c>
      <c r="E38">
        <v>190</v>
      </c>
      <c r="F38">
        <v>3950</v>
      </c>
      <c r="G38" t="s">
        <v>9</v>
      </c>
    </row>
    <row r="39" spans="1:7">
      <c r="A39" t="s">
        <v>7</v>
      </c>
      <c r="B39" t="s">
        <v>13</v>
      </c>
      <c r="C39">
        <v>42.2</v>
      </c>
      <c r="D39">
        <v>18.5</v>
      </c>
      <c r="E39">
        <v>180</v>
      </c>
      <c r="F39">
        <v>3550</v>
      </c>
      <c r="G39" t="s">
        <v>10</v>
      </c>
    </row>
    <row r="40" spans="1:7">
      <c r="A40" t="s">
        <v>7</v>
      </c>
      <c r="B40" t="s">
        <v>13</v>
      </c>
      <c r="C40">
        <v>37.6</v>
      </c>
      <c r="D40">
        <v>19.3</v>
      </c>
      <c r="E40">
        <v>181</v>
      </c>
      <c r="F40">
        <v>3300</v>
      </c>
      <c r="G40" t="s">
        <v>10</v>
      </c>
    </row>
    <row r="41" spans="1:7">
      <c r="A41" t="s">
        <v>7</v>
      </c>
      <c r="B41" t="s">
        <v>13</v>
      </c>
      <c r="C41">
        <v>39.8</v>
      </c>
      <c r="D41">
        <v>19.1</v>
      </c>
      <c r="E41">
        <v>184</v>
      </c>
      <c r="F41">
        <v>4650</v>
      </c>
      <c r="G41" t="s">
        <v>9</v>
      </c>
    </row>
    <row r="42" spans="1:7">
      <c r="A42" t="s">
        <v>7</v>
      </c>
      <c r="B42" t="s">
        <v>13</v>
      </c>
      <c r="C42">
        <v>36.5</v>
      </c>
      <c r="D42">
        <v>18</v>
      </c>
      <c r="E42">
        <v>182</v>
      </c>
      <c r="F42">
        <v>3150</v>
      </c>
      <c r="G42" t="s">
        <v>10</v>
      </c>
    </row>
    <row r="43" spans="1:7">
      <c r="A43" t="s">
        <v>7</v>
      </c>
      <c r="B43" t="s">
        <v>13</v>
      </c>
      <c r="C43">
        <v>40.8</v>
      </c>
      <c r="D43">
        <v>18.4</v>
      </c>
      <c r="E43">
        <v>195</v>
      </c>
      <c r="F43">
        <v>3900</v>
      </c>
      <c r="G43" t="s">
        <v>9</v>
      </c>
    </row>
    <row r="44" spans="1:7">
      <c r="A44" t="s">
        <v>7</v>
      </c>
      <c r="B44" t="s">
        <v>13</v>
      </c>
      <c r="C44">
        <v>36</v>
      </c>
      <c r="D44">
        <v>18.5</v>
      </c>
      <c r="E44">
        <v>186</v>
      </c>
      <c r="F44">
        <v>3100</v>
      </c>
      <c r="G44" t="s">
        <v>10</v>
      </c>
    </row>
    <row r="45" spans="1:7">
      <c r="A45" t="s">
        <v>7</v>
      </c>
      <c r="B45" t="s">
        <v>13</v>
      </c>
      <c r="C45">
        <v>44.1</v>
      </c>
      <c r="D45">
        <v>19.7</v>
      </c>
      <c r="E45">
        <v>196</v>
      </c>
      <c r="F45">
        <v>4400</v>
      </c>
      <c r="G45" t="s">
        <v>9</v>
      </c>
    </row>
    <row r="46" spans="1:7">
      <c r="A46" t="s">
        <v>7</v>
      </c>
      <c r="B46" t="s">
        <v>13</v>
      </c>
      <c r="C46">
        <v>37</v>
      </c>
      <c r="D46">
        <v>16.9</v>
      </c>
      <c r="E46">
        <v>185</v>
      </c>
      <c r="F46">
        <v>3000</v>
      </c>
      <c r="G46" t="s">
        <v>10</v>
      </c>
    </row>
    <row r="47" spans="1:7">
      <c r="A47" t="s">
        <v>7</v>
      </c>
      <c r="B47" t="s">
        <v>13</v>
      </c>
      <c r="C47">
        <v>39.6</v>
      </c>
      <c r="D47">
        <v>18.8</v>
      </c>
      <c r="E47">
        <v>190</v>
      </c>
      <c r="F47">
        <v>4600</v>
      </c>
      <c r="G47" t="s">
        <v>9</v>
      </c>
    </row>
    <row r="48" spans="1:7">
      <c r="A48" t="s">
        <v>7</v>
      </c>
      <c r="B48" t="s">
        <v>13</v>
      </c>
      <c r="C48">
        <v>41.1</v>
      </c>
      <c r="D48">
        <v>19</v>
      </c>
      <c r="E48">
        <v>182</v>
      </c>
      <c r="F48">
        <v>3425</v>
      </c>
      <c r="G48" t="s">
        <v>9</v>
      </c>
    </row>
    <row r="49" spans="1:7">
      <c r="A49" t="s">
        <v>7</v>
      </c>
      <c r="B49" t="s">
        <v>13</v>
      </c>
      <c r="C49">
        <v>37.5</v>
      </c>
      <c r="D49">
        <v>18.9</v>
      </c>
      <c r="E49">
        <v>179</v>
      </c>
      <c r="F49">
        <v>2975</v>
      </c>
      <c r="G49" t="s">
        <v>11</v>
      </c>
    </row>
    <row r="50" spans="1:7">
      <c r="A50" t="s">
        <v>7</v>
      </c>
      <c r="B50" t="s">
        <v>13</v>
      </c>
      <c r="C50">
        <v>36</v>
      </c>
      <c r="D50">
        <v>17.9</v>
      </c>
      <c r="E50">
        <v>190</v>
      </c>
      <c r="F50">
        <v>3450</v>
      </c>
      <c r="G50" t="s">
        <v>10</v>
      </c>
    </row>
    <row r="51" spans="1:7">
      <c r="A51" t="s">
        <v>7</v>
      </c>
      <c r="B51" t="s">
        <v>13</v>
      </c>
      <c r="C51">
        <v>42.3</v>
      </c>
      <c r="D51">
        <v>21.2</v>
      </c>
      <c r="E51">
        <v>191</v>
      </c>
      <c r="F51">
        <v>4150</v>
      </c>
      <c r="G51" t="s">
        <v>9</v>
      </c>
    </row>
    <row r="52" spans="1:7">
      <c r="A52" t="s">
        <v>7</v>
      </c>
      <c r="B52" t="s">
        <v>12</v>
      </c>
      <c r="C52">
        <v>39.6</v>
      </c>
      <c r="D52">
        <v>17.7</v>
      </c>
      <c r="E52">
        <v>186</v>
      </c>
      <c r="F52">
        <v>3500</v>
      </c>
      <c r="G52" t="s">
        <v>10</v>
      </c>
    </row>
    <row r="53" spans="1:7">
      <c r="A53" t="s">
        <v>7</v>
      </c>
      <c r="B53" t="s">
        <v>12</v>
      </c>
      <c r="C53">
        <v>40.1</v>
      </c>
      <c r="D53">
        <v>18.9</v>
      </c>
      <c r="E53">
        <v>188</v>
      </c>
      <c r="F53">
        <v>4300</v>
      </c>
      <c r="G53" t="s">
        <v>9</v>
      </c>
    </row>
    <row r="54" spans="1:7">
      <c r="A54" t="s">
        <v>7</v>
      </c>
      <c r="B54" t="s">
        <v>12</v>
      </c>
      <c r="C54">
        <v>35</v>
      </c>
      <c r="D54">
        <v>17.9</v>
      </c>
      <c r="E54">
        <v>190</v>
      </c>
      <c r="F54">
        <v>3450</v>
      </c>
      <c r="G54" t="s">
        <v>10</v>
      </c>
    </row>
    <row r="55" spans="1:7">
      <c r="A55" t="s">
        <v>7</v>
      </c>
      <c r="B55" t="s">
        <v>12</v>
      </c>
      <c r="C55">
        <v>42</v>
      </c>
      <c r="D55">
        <v>19.5</v>
      </c>
      <c r="E55">
        <v>200</v>
      </c>
      <c r="F55">
        <v>4050</v>
      </c>
      <c r="G55" t="s">
        <v>9</v>
      </c>
    </row>
    <row r="56" spans="1:7">
      <c r="A56" t="s">
        <v>7</v>
      </c>
      <c r="B56" t="s">
        <v>12</v>
      </c>
      <c r="C56">
        <v>34.5</v>
      </c>
      <c r="D56">
        <v>18.1</v>
      </c>
      <c r="E56">
        <v>187</v>
      </c>
      <c r="F56">
        <v>2900</v>
      </c>
      <c r="G56" t="s">
        <v>10</v>
      </c>
    </row>
    <row r="57" spans="1:7">
      <c r="A57" t="s">
        <v>7</v>
      </c>
      <c r="B57" t="s">
        <v>12</v>
      </c>
      <c r="C57">
        <v>41.4</v>
      </c>
      <c r="D57">
        <v>18.6</v>
      </c>
      <c r="E57">
        <v>191</v>
      </c>
      <c r="F57">
        <v>3700</v>
      </c>
      <c r="G57" t="s">
        <v>9</v>
      </c>
    </row>
    <row r="58" spans="1:7">
      <c r="A58" t="s">
        <v>7</v>
      </c>
      <c r="B58" t="s">
        <v>12</v>
      </c>
      <c r="C58">
        <v>39</v>
      </c>
      <c r="D58">
        <v>17.5</v>
      </c>
      <c r="E58">
        <v>186</v>
      </c>
      <c r="F58">
        <v>3550</v>
      </c>
      <c r="G58" t="s">
        <v>10</v>
      </c>
    </row>
    <row r="59" spans="1:7">
      <c r="A59" t="s">
        <v>7</v>
      </c>
      <c r="B59" t="s">
        <v>12</v>
      </c>
      <c r="C59">
        <v>40.6</v>
      </c>
      <c r="D59">
        <v>18.8</v>
      </c>
      <c r="E59">
        <v>193</v>
      </c>
      <c r="F59">
        <v>3800</v>
      </c>
      <c r="G59" t="s">
        <v>9</v>
      </c>
    </row>
    <row r="60" spans="1:7">
      <c r="A60" t="s">
        <v>7</v>
      </c>
      <c r="B60" t="s">
        <v>12</v>
      </c>
      <c r="C60">
        <v>36.5</v>
      </c>
      <c r="D60">
        <v>16.6</v>
      </c>
      <c r="E60">
        <v>181</v>
      </c>
      <c r="F60">
        <v>2850</v>
      </c>
      <c r="G60" t="s">
        <v>10</v>
      </c>
    </row>
    <row r="61" spans="1:7">
      <c r="A61" t="s">
        <v>7</v>
      </c>
      <c r="B61" t="s">
        <v>12</v>
      </c>
      <c r="C61">
        <v>37.6</v>
      </c>
      <c r="D61">
        <v>19.1</v>
      </c>
      <c r="E61">
        <v>194</v>
      </c>
      <c r="F61">
        <v>3750</v>
      </c>
      <c r="G61" t="s">
        <v>9</v>
      </c>
    </row>
    <row r="62" spans="1:7">
      <c r="A62" t="s">
        <v>7</v>
      </c>
      <c r="B62" t="s">
        <v>12</v>
      </c>
      <c r="C62">
        <v>35.7</v>
      </c>
      <c r="D62">
        <v>16.9</v>
      </c>
      <c r="E62">
        <v>185</v>
      </c>
      <c r="F62">
        <v>3150</v>
      </c>
      <c r="G62" t="s">
        <v>10</v>
      </c>
    </row>
    <row r="63" spans="1:7">
      <c r="A63" t="s">
        <v>7</v>
      </c>
      <c r="B63" t="s">
        <v>12</v>
      </c>
      <c r="C63">
        <v>41.3</v>
      </c>
      <c r="D63">
        <v>21.1</v>
      </c>
      <c r="E63">
        <v>195</v>
      </c>
      <c r="F63">
        <v>4400</v>
      </c>
      <c r="G63" t="s">
        <v>9</v>
      </c>
    </row>
    <row r="64" spans="1:7">
      <c r="A64" t="s">
        <v>7</v>
      </c>
      <c r="B64" t="s">
        <v>12</v>
      </c>
      <c r="C64">
        <v>37.6</v>
      </c>
      <c r="D64">
        <v>17</v>
      </c>
      <c r="E64">
        <v>185</v>
      </c>
      <c r="F64">
        <v>3600</v>
      </c>
      <c r="G64" t="s">
        <v>10</v>
      </c>
    </row>
    <row r="65" spans="1:7">
      <c r="A65" t="s">
        <v>7</v>
      </c>
      <c r="B65" t="s">
        <v>12</v>
      </c>
      <c r="C65">
        <v>41.1</v>
      </c>
      <c r="D65">
        <v>18.2</v>
      </c>
      <c r="E65">
        <v>192</v>
      </c>
      <c r="F65">
        <v>4050</v>
      </c>
      <c r="G65" t="s">
        <v>9</v>
      </c>
    </row>
    <row r="66" spans="1:7">
      <c r="A66" t="s">
        <v>7</v>
      </c>
      <c r="B66" t="s">
        <v>12</v>
      </c>
      <c r="C66">
        <v>36.4</v>
      </c>
      <c r="D66">
        <v>17.1</v>
      </c>
      <c r="E66">
        <v>184</v>
      </c>
      <c r="F66">
        <v>2850</v>
      </c>
      <c r="G66" t="s">
        <v>10</v>
      </c>
    </row>
    <row r="67" spans="1:7">
      <c r="A67" t="s">
        <v>7</v>
      </c>
      <c r="B67" t="s">
        <v>12</v>
      </c>
      <c r="C67">
        <v>41.6</v>
      </c>
      <c r="D67">
        <v>18</v>
      </c>
      <c r="E67">
        <v>192</v>
      </c>
      <c r="F67">
        <v>3950</v>
      </c>
      <c r="G67" t="s">
        <v>9</v>
      </c>
    </row>
    <row r="68" spans="1:7">
      <c r="A68" t="s">
        <v>7</v>
      </c>
      <c r="B68" t="s">
        <v>12</v>
      </c>
      <c r="C68">
        <v>35.5</v>
      </c>
      <c r="D68">
        <v>16.2</v>
      </c>
      <c r="E68">
        <v>195</v>
      </c>
      <c r="F68">
        <v>3350</v>
      </c>
      <c r="G68" t="s">
        <v>10</v>
      </c>
    </row>
    <row r="69" spans="1:7">
      <c r="A69" t="s">
        <v>7</v>
      </c>
      <c r="B69" t="s">
        <v>12</v>
      </c>
      <c r="C69">
        <v>41.1</v>
      </c>
      <c r="D69">
        <v>19.1</v>
      </c>
      <c r="E69">
        <v>188</v>
      </c>
      <c r="F69">
        <v>4100</v>
      </c>
      <c r="G69" t="s">
        <v>9</v>
      </c>
    </row>
    <row r="70" spans="1:7">
      <c r="A70" t="s">
        <v>7</v>
      </c>
      <c r="B70" t="s">
        <v>8</v>
      </c>
      <c r="C70">
        <v>35.9</v>
      </c>
      <c r="D70">
        <v>16.6</v>
      </c>
      <c r="E70">
        <v>190</v>
      </c>
      <c r="F70">
        <v>3050</v>
      </c>
      <c r="G70" t="s">
        <v>10</v>
      </c>
    </row>
    <row r="71" spans="1:7">
      <c r="A71" t="s">
        <v>7</v>
      </c>
      <c r="B71" t="s">
        <v>8</v>
      </c>
      <c r="C71">
        <v>41.8</v>
      </c>
      <c r="D71">
        <v>19.4</v>
      </c>
      <c r="E71">
        <v>198</v>
      </c>
      <c r="F71">
        <v>4450</v>
      </c>
      <c r="G71" t="s">
        <v>9</v>
      </c>
    </row>
    <row r="72" spans="1:7">
      <c r="A72" t="s">
        <v>7</v>
      </c>
      <c r="B72" t="s">
        <v>8</v>
      </c>
      <c r="C72">
        <v>33.5</v>
      </c>
      <c r="D72">
        <v>19</v>
      </c>
      <c r="E72">
        <v>190</v>
      </c>
      <c r="F72">
        <v>3600</v>
      </c>
      <c r="G72" t="s">
        <v>10</v>
      </c>
    </row>
    <row r="73" spans="1:7">
      <c r="A73" t="s">
        <v>7</v>
      </c>
      <c r="B73" t="s">
        <v>8</v>
      </c>
      <c r="C73">
        <v>39.7</v>
      </c>
      <c r="D73">
        <v>18.4</v>
      </c>
      <c r="E73">
        <v>190</v>
      </c>
      <c r="F73">
        <v>3900</v>
      </c>
      <c r="G73" t="s">
        <v>9</v>
      </c>
    </row>
    <row r="74" spans="1:7">
      <c r="A74" t="s">
        <v>7</v>
      </c>
      <c r="B74" t="s">
        <v>8</v>
      </c>
      <c r="C74">
        <v>39.6</v>
      </c>
      <c r="D74">
        <v>17.2</v>
      </c>
      <c r="E74">
        <v>196</v>
      </c>
      <c r="F74">
        <v>3550</v>
      </c>
      <c r="G74" t="s">
        <v>10</v>
      </c>
    </row>
    <row r="75" spans="1:7">
      <c r="A75" t="s">
        <v>7</v>
      </c>
      <c r="B75" t="s">
        <v>8</v>
      </c>
      <c r="C75">
        <v>45.8</v>
      </c>
      <c r="D75">
        <v>18.9</v>
      </c>
      <c r="E75">
        <v>197</v>
      </c>
      <c r="F75">
        <v>4150</v>
      </c>
      <c r="G75" t="s">
        <v>9</v>
      </c>
    </row>
    <row r="76" spans="1:7">
      <c r="A76" t="s">
        <v>7</v>
      </c>
      <c r="B76" t="s">
        <v>8</v>
      </c>
      <c r="C76">
        <v>35.5</v>
      </c>
      <c r="D76">
        <v>17.5</v>
      </c>
      <c r="E76">
        <v>190</v>
      </c>
      <c r="F76">
        <v>3700</v>
      </c>
      <c r="G76" t="s">
        <v>10</v>
      </c>
    </row>
    <row r="77" spans="1:7">
      <c r="A77" t="s">
        <v>7</v>
      </c>
      <c r="B77" t="s">
        <v>8</v>
      </c>
      <c r="C77">
        <v>42.8</v>
      </c>
      <c r="D77">
        <v>18.5</v>
      </c>
      <c r="E77">
        <v>195</v>
      </c>
      <c r="F77">
        <v>4250</v>
      </c>
      <c r="G77" t="s">
        <v>9</v>
      </c>
    </row>
    <row r="78" spans="1:7">
      <c r="A78" t="s">
        <v>7</v>
      </c>
      <c r="B78" t="s">
        <v>8</v>
      </c>
      <c r="C78">
        <v>40.9</v>
      </c>
      <c r="D78">
        <v>16.8</v>
      </c>
      <c r="E78">
        <v>191</v>
      </c>
      <c r="F78">
        <v>3700</v>
      </c>
      <c r="G78" t="s">
        <v>10</v>
      </c>
    </row>
    <row r="79" spans="1:7">
      <c r="A79" t="s">
        <v>7</v>
      </c>
      <c r="B79" t="s">
        <v>8</v>
      </c>
      <c r="C79">
        <v>37.2</v>
      </c>
      <c r="D79">
        <v>19.4</v>
      </c>
      <c r="E79">
        <v>184</v>
      </c>
      <c r="F79">
        <v>3900</v>
      </c>
      <c r="G79" t="s">
        <v>9</v>
      </c>
    </row>
    <row r="80" spans="1:7">
      <c r="A80" t="s">
        <v>7</v>
      </c>
      <c r="B80" t="s">
        <v>8</v>
      </c>
      <c r="C80">
        <v>36.2</v>
      </c>
      <c r="D80">
        <v>16.1</v>
      </c>
      <c r="E80">
        <v>187</v>
      </c>
      <c r="F80">
        <v>3550</v>
      </c>
      <c r="G80" t="s">
        <v>10</v>
      </c>
    </row>
    <row r="81" spans="1:7">
      <c r="A81" t="s">
        <v>7</v>
      </c>
      <c r="B81" t="s">
        <v>8</v>
      </c>
      <c r="C81">
        <v>42.1</v>
      </c>
      <c r="D81">
        <v>19.1</v>
      </c>
      <c r="E81">
        <v>195</v>
      </c>
      <c r="F81">
        <v>4000</v>
      </c>
      <c r="G81" t="s">
        <v>9</v>
      </c>
    </row>
    <row r="82" spans="1:7">
      <c r="A82" t="s">
        <v>7</v>
      </c>
      <c r="B82" t="s">
        <v>8</v>
      </c>
      <c r="C82">
        <v>34.6</v>
      </c>
      <c r="D82">
        <v>17.2</v>
      </c>
      <c r="E82">
        <v>189</v>
      </c>
      <c r="F82">
        <v>3200</v>
      </c>
      <c r="G82" t="s">
        <v>10</v>
      </c>
    </row>
    <row r="83" spans="1:7">
      <c r="A83" t="s">
        <v>7</v>
      </c>
      <c r="B83" t="s">
        <v>8</v>
      </c>
      <c r="C83">
        <v>42.9</v>
      </c>
      <c r="D83">
        <v>17.6</v>
      </c>
      <c r="E83">
        <v>196</v>
      </c>
      <c r="F83">
        <v>4700</v>
      </c>
      <c r="G83" t="s">
        <v>9</v>
      </c>
    </row>
    <row r="84" spans="1:7">
      <c r="A84" t="s">
        <v>7</v>
      </c>
      <c r="B84" t="s">
        <v>8</v>
      </c>
      <c r="C84">
        <v>36.7</v>
      </c>
      <c r="D84">
        <v>18.8</v>
      </c>
      <c r="E84">
        <v>187</v>
      </c>
      <c r="F84">
        <v>3800</v>
      </c>
      <c r="G84" t="s">
        <v>10</v>
      </c>
    </row>
    <row r="85" spans="1:7">
      <c r="A85" t="s">
        <v>7</v>
      </c>
      <c r="B85" t="s">
        <v>8</v>
      </c>
      <c r="C85">
        <v>35.1</v>
      </c>
      <c r="D85">
        <v>19.4</v>
      </c>
      <c r="E85">
        <v>193</v>
      </c>
      <c r="F85">
        <v>4200</v>
      </c>
      <c r="G85" t="s">
        <v>9</v>
      </c>
    </row>
    <row r="86" spans="1:7">
      <c r="A86" t="s">
        <v>7</v>
      </c>
      <c r="B86" t="s">
        <v>13</v>
      </c>
      <c r="C86">
        <v>37.3</v>
      </c>
      <c r="D86">
        <v>17.8</v>
      </c>
      <c r="E86">
        <v>191</v>
      </c>
      <c r="F86">
        <v>3350</v>
      </c>
      <c r="G86" t="s">
        <v>10</v>
      </c>
    </row>
    <row r="87" spans="1:7">
      <c r="A87" t="s">
        <v>7</v>
      </c>
      <c r="B87" t="s">
        <v>13</v>
      </c>
      <c r="C87">
        <v>41.3</v>
      </c>
      <c r="D87">
        <v>20.3</v>
      </c>
      <c r="E87">
        <v>194</v>
      </c>
      <c r="F87">
        <v>3550</v>
      </c>
      <c r="G87" t="s">
        <v>9</v>
      </c>
    </row>
    <row r="88" spans="1:7">
      <c r="A88" t="s">
        <v>7</v>
      </c>
      <c r="B88" t="s">
        <v>13</v>
      </c>
      <c r="C88">
        <v>36.3</v>
      </c>
      <c r="D88">
        <v>19.5</v>
      </c>
      <c r="E88">
        <v>190</v>
      </c>
      <c r="F88">
        <v>3800</v>
      </c>
      <c r="G88" t="s">
        <v>9</v>
      </c>
    </row>
    <row r="89" spans="1:7">
      <c r="A89" t="s">
        <v>7</v>
      </c>
      <c r="B89" t="s">
        <v>13</v>
      </c>
      <c r="C89">
        <v>36.9</v>
      </c>
      <c r="D89">
        <v>18.6</v>
      </c>
      <c r="E89">
        <v>189</v>
      </c>
      <c r="F89">
        <v>3500</v>
      </c>
      <c r="G89" t="s">
        <v>10</v>
      </c>
    </row>
    <row r="90" spans="1:7">
      <c r="A90" t="s">
        <v>7</v>
      </c>
      <c r="B90" t="s">
        <v>13</v>
      </c>
      <c r="C90">
        <v>38.3</v>
      </c>
      <c r="D90">
        <v>19.2</v>
      </c>
      <c r="E90">
        <v>189</v>
      </c>
      <c r="F90">
        <v>3950</v>
      </c>
      <c r="G90" t="s">
        <v>9</v>
      </c>
    </row>
    <row r="91" spans="1:7">
      <c r="A91" t="s">
        <v>7</v>
      </c>
      <c r="B91" t="s">
        <v>13</v>
      </c>
      <c r="C91">
        <v>38.9</v>
      </c>
      <c r="D91">
        <v>18.8</v>
      </c>
      <c r="E91">
        <v>190</v>
      </c>
      <c r="F91">
        <v>3600</v>
      </c>
      <c r="G91" t="s">
        <v>10</v>
      </c>
    </row>
    <row r="92" spans="1:7">
      <c r="A92" t="s">
        <v>7</v>
      </c>
      <c r="B92" t="s">
        <v>13</v>
      </c>
      <c r="C92">
        <v>35.7</v>
      </c>
      <c r="D92">
        <v>18</v>
      </c>
      <c r="E92">
        <v>202</v>
      </c>
      <c r="F92">
        <v>3550</v>
      </c>
      <c r="G92" t="s">
        <v>10</v>
      </c>
    </row>
    <row r="93" spans="1:7">
      <c r="A93" t="s">
        <v>7</v>
      </c>
      <c r="B93" t="s">
        <v>13</v>
      </c>
      <c r="C93">
        <v>41.1</v>
      </c>
      <c r="D93">
        <v>18.1</v>
      </c>
      <c r="E93">
        <v>205</v>
      </c>
      <c r="F93">
        <v>4300</v>
      </c>
      <c r="G93" t="s">
        <v>9</v>
      </c>
    </row>
    <row r="94" spans="1:7">
      <c r="A94" t="s">
        <v>7</v>
      </c>
      <c r="B94" t="s">
        <v>13</v>
      </c>
      <c r="C94">
        <v>34</v>
      </c>
      <c r="D94">
        <v>17.1</v>
      </c>
      <c r="E94">
        <v>185</v>
      </c>
      <c r="F94">
        <v>3400</v>
      </c>
      <c r="G94" t="s">
        <v>10</v>
      </c>
    </row>
    <row r="95" spans="1:7">
      <c r="A95" t="s">
        <v>7</v>
      </c>
      <c r="B95" t="s">
        <v>13</v>
      </c>
      <c r="C95">
        <v>39.6</v>
      </c>
      <c r="D95">
        <v>18.1</v>
      </c>
      <c r="E95">
        <v>186</v>
      </c>
      <c r="F95">
        <v>4450</v>
      </c>
      <c r="G95" t="s">
        <v>9</v>
      </c>
    </row>
    <row r="96" spans="1:7">
      <c r="A96" t="s">
        <v>7</v>
      </c>
      <c r="B96" t="s">
        <v>13</v>
      </c>
      <c r="C96">
        <v>36.2</v>
      </c>
      <c r="D96">
        <v>17.3</v>
      </c>
      <c r="E96">
        <v>187</v>
      </c>
      <c r="F96">
        <v>3300</v>
      </c>
      <c r="G96" t="s">
        <v>10</v>
      </c>
    </row>
    <row r="97" spans="1:7">
      <c r="A97" t="s">
        <v>7</v>
      </c>
      <c r="B97" t="s">
        <v>13</v>
      </c>
      <c r="C97">
        <v>40.8</v>
      </c>
      <c r="D97">
        <v>18.9</v>
      </c>
      <c r="E97">
        <v>208</v>
      </c>
      <c r="F97">
        <v>4300</v>
      </c>
      <c r="G97" t="s">
        <v>9</v>
      </c>
    </row>
    <row r="98" spans="1:7">
      <c r="A98" t="s">
        <v>7</v>
      </c>
      <c r="B98" t="s">
        <v>13</v>
      </c>
      <c r="C98">
        <v>38.1</v>
      </c>
      <c r="D98">
        <v>18.6</v>
      </c>
      <c r="E98">
        <v>190</v>
      </c>
      <c r="F98">
        <v>3700</v>
      </c>
      <c r="G98" t="s">
        <v>10</v>
      </c>
    </row>
    <row r="99" spans="1:7">
      <c r="A99" t="s">
        <v>7</v>
      </c>
      <c r="B99" t="s">
        <v>13</v>
      </c>
      <c r="C99">
        <v>40.3</v>
      </c>
      <c r="D99">
        <v>18.5</v>
      </c>
      <c r="E99">
        <v>196</v>
      </c>
      <c r="F99">
        <v>4350</v>
      </c>
      <c r="G99" t="s">
        <v>9</v>
      </c>
    </row>
    <row r="100" spans="1:7">
      <c r="A100" t="s">
        <v>7</v>
      </c>
      <c r="B100" t="s">
        <v>13</v>
      </c>
      <c r="C100">
        <v>33.1</v>
      </c>
      <c r="D100">
        <v>16.1</v>
      </c>
      <c r="E100">
        <v>178</v>
      </c>
      <c r="F100">
        <v>2900</v>
      </c>
      <c r="G100" t="s">
        <v>10</v>
      </c>
    </row>
    <row r="101" spans="1:7">
      <c r="A101" t="s">
        <v>7</v>
      </c>
      <c r="B101" t="s">
        <v>13</v>
      </c>
      <c r="C101">
        <v>43.2</v>
      </c>
      <c r="D101">
        <v>18.5</v>
      </c>
      <c r="E101">
        <v>192</v>
      </c>
      <c r="F101">
        <v>4100</v>
      </c>
      <c r="G101" t="s">
        <v>9</v>
      </c>
    </row>
    <row r="102" spans="1:7">
      <c r="A102" t="s">
        <v>7</v>
      </c>
      <c r="B102" t="s">
        <v>12</v>
      </c>
      <c r="C102">
        <v>35</v>
      </c>
      <c r="D102">
        <v>17.9</v>
      </c>
      <c r="E102">
        <v>192</v>
      </c>
      <c r="F102">
        <v>3725</v>
      </c>
      <c r="G102" t="s">
        <v>10</v>
      </c>
    </row>
    <row r="103" spans="1:7">
      <c r="A103" t="s">
        <v>7</v>
      </c>
      <c r="B103" t="s">
        <v>12</v>
      </c>
      <c r="C103">
        <v>41</v>
      </c>
      <c r="D103">
        <v>20</v>
      </c>
      <c r="E103">
        <v>203</v>
      </c>
      <c r="F103">
        <v>4725</v>
      </c>
      <c r="G103" t="s">
        <v>9</v>
      </c>
    </row>
    <row r="104" spans="1:7">
      <c r="A104" t="s">
        <v>7</v>
      </c>
      <c r="B104" t="s">
        <v>12</v>
      </c>
      <c r="C104">
        <v>37.7</v>
      </c>
      <c r="D104">
        <v>16</v>
      </c>
      <c r="E104">
        <v>183</v>
      </c>
      <c r="F104">
        <v>3075</v>
      </c>
      <c r="G104" t="s">
        <v>10</v>
      </c>
    </row>
    <row r="105" spans="1:7">
      <c r="A105" t="s">
        <v>7</v>
      </c>
      <c r="B105" t="s">
        <v>12</v>
      </c>
      <c r="C105">
        <v>37.8</v>
      </c>
      <c r="D105">
        <v>20</v>
      </c>
      <c r="E105">
        <v>190</v>
      </c>
      <c r="F105">
        <v>4250</v>
      </c>
      <c r="G105" t="s">
        <v>9</v>
      </c>
    </row>
    <row r="106" spans="1:7">
      <c r="A106" t="s">
        <v>7</v>
      </c>
      <c r="B106" t="s">
        <v>12</v>
      </c>
      <c r="C106">
        <v>37.9</v>
      </c>
      <c r="D106">
        <v>18.6</v>
      </c>
      <c r="E106">
        <v>193</v>
      </c>
      <c r="F106">
        <v>2925</v>
      </c>
      <c r="G106" t="s">
        <v>10</v>
      </c>
    </row>
    <row r="107" spans="1:7">
      <c r="A107" t="s">
        <v>7</v>
      </c>
      <c r="B107" t="s">
        <v>12</v>
      </c>
      <c r="C107">
        <v>39.7</v>
      </c>
      <c r="D107">
        <v>18.9</v>
      </c>
      <c r="E107">
        <v>184</v>
      </c>
      <c r="F107">
        <v>3550</v>
      </c>
      <c r="G107" t="s">
        <v>9</v>
      </c>
    </row>
    <row r="108" spans="1:7">
      <c r="A108" t="s">
        <v>7</v>
      </c>
      <c r="B108" t="s">
        <v>12</v>
      </c>
      <c r="C108">
        <v>38.6</v>
      </c>
      <c r="D108">
        <v>17.2</v>
      </c>
      <c r="E108">
        <v>199</v>
      </c>
      <c r="F108">
        <v>3750</v>
      </c>
      <c r="G108" t="s">
        <v>10</v>
      </c>
    </row>
    <row r="109" spans="1:7">
      <c r="A109" t="s">
        <v>7</v>
      </c>
      <c r="B109" t="s">
        <v>12</v>
      </c>
      <c r="C109">
        <v>38.2</v>
      </c>
      <c r="D109">
        <v>20</v>
      </c>
      <c r="E109">
        <v>190</v>
      </c>
      <c r="F109">
        <v>3900</v>
      </c>
      <c r="G109" t="s">
        <v>9</v>
      </c>
    </row>
    <row r="110" spans="1:7">
      <c r="A110" t="s">
        <v>7</v>
      </c>
      <c r="B110" t="s">
        <v>12</v>
      </c>
      <c r="C110">
        <v>38.1</v>
      </c>
      <c r="D110">
        <v>17</v>
      </c>
      <c r="E110">
        <v>181</v>
      </c>
      <c r="F110">
        <v>3175</v>
      </c>
      <c r="G110" t="s">
        <v>10</v>
      </c>
    </row>
    <row r="111" spans="1:7">
      <c r="A111" t="s">
        <v>7</v>
      </c>
      <c r="B111" t="s">
        <v>12</v>
      </c>
      <c r="C111">
        <v>43.2</v>
      </c>
      <c r="D111">
        <v>19</v>
      </c>
      <c r="E111">
        <v>197</v>
      </c>
      <c r="F111">
        <v>4775</v>
      </c>
      <c r="G111" t="s">
        <v>9</v>
      </c>
    </row>
    <row r="112" spans="1:7">
      <c r="A112" t="s">
        <v>7</v>
      </c>
      <c r="B112" t="s">
        <v>12</v>
      </c>
      <c r="C112">
        <v>38.1</v>
      </c>
      <c r="D112">
        <v>16.5</v>
      </c>
      <c r="E112">
        <v>198</v>
      </c>
      <c r="F112">
        <v>3825</v>
      </c>
      <c r="G112" t="s">
        <v>10</v>
      </c>
    </row>
    <row r="113" spans="1:7">
      <c r="A113" t="s">
        <v>7</v>
      </c>
      <c r="B113" t="s">
        <v>12</v>
      </c>
      <c r="C113">
        <v>45.6</v>
      </c>
      <c r="D113">
        <v>20.3</v>
      </c>
      <c r="E113">
        <v>191</v>
      </c>
      <c r="F113">
        <v>4600</v>
      </c>
      <c r="G113" t="s">
        <v>9</v>
      </c>
    </row>
    <row r="114" spans="1:7">
      <c r="A114" t="s">
        <v>7</v>
      </c>
      <c r="B114" t="s">
        <v>12</v>
      </c>
      <c r="C114">
        <v>39.7</v>
      </c>
      <c r="D114">
        <v>17.7</v>
      </c>
      <c r="E114">
        <v>193</v>
      </c>
      <c r="F114">
        <v>3200</v>
      </c>
      <c r="G114" t="s">
        <v>10</v>
      </c>
    </row>
    <row r="115" spans="1:7">
      <c r="A115" t="s">
        <v>7</v>
      </c>
      <c r="B115" t="s">
        <v>12</v>
      </c>
      <c r="C115">
        <v>42.2</v>
      </c>
      <c r="D115">
        <v>19.5</v>
      </c>
      <c r="E115">
        <v>197</v>
      </c>
      <c r="F115">
        <v>4275</v>
      </c>
      <c r="G115" t="s">
        <v>9</v>
      </c>
    </row>
    <row r="116" spans="1:7">
      <c r="A116" t="s">
        <v>7</v>
      </c>
      <c r="B116" t="s">
        <v>12</v>
      </c>
      <c r="C116">
        <v>39.6</v>
      </c>
      <c r="D116">
        <v>20.7</v>
      </c>
      <c r="E116">
        <v>191</v>
      </c>
      <c r="F116">
        <v>3900</v>
      </c>
      <c r="G116" t="s">
        <v>10</v>
      </c>
    </row>
    <row r="117" spans="1:7">
      <c r="A117" t="s">
        <v>7</v>
      </c>
      <c r="B117" t="s">
        <v>12</v>
      </c>
      <c r="C117">
        <v>42.7</v>
      </c>
      <c r="D117">
        <v>18.3</v>
      </c>
      <c r="E117">
        <v>196</v>
      </c>
      <c r="F117">
        <v>4075</v>
      </c>
      <c r="G117" t="s">
        <v>9</v>
      </c>
    </row>
    <row r="118" spans="1:7">
      <c r="A118" t="s">
        <v>7</v>
      </c>
      <c r="B118" t="s">
        <v>8</v>
      </c>
      <c r="C118">
        <v>38.6</v>
      </c>
      <c r="D118">
        <v>17</v>
      </c>
      <c r="E118">
        <v>188</v>
      </c>
      <c r="F118">
        <v>2900</v>
      </c>
      <c r="G118" t="s">
        <v>10</v>
      </c>
    </row>
    <row r="119" spans="1:7">
      <c r="A119" t="s">
        <v>7</v>
      </c>
      <c r="B119" t="s">
        <v>8</v>
      </c>
      <c r="C119">
        <v>37.3</v>
      </c>
      <c r="D119">
        <v>20.5</v>
      </c>
      <c r="E119">
        <v>199</v>
      </c>
      <c r="F119">
        <v>3775</v>
      </c>
      <c r="G119" t="s">
        <v>9</v>
      </c>
    </row>
    <row r="120" spans="1:7">
      <c r="A120" t="s">
        <v>7</v>
      </c>
      <c r="B120" t="s">
        <v>8</v>
      </c>
      <c r="C120">
        <v>35.7</v>
      </c>
      <c r="D120">
        <v>17</v>
      </c>
      <c r="E120">
        <v>189</v>
      </c>
      <c r="F120">
        <v>3350</v>
      </c>
      <c r="G120" t="s">
        <v>10</v>
      </c>
    </row>
    <row r="121" spans="1:7">
      <c r="A121" t="s">
        <v>7</v>
      </c>
      <c r="B121" t="s">
        <v>8</v>
      </c>
      <c r="C121">
        <v>41.1</v>
      </c>
      <c r="D121">
        <v>18.6</v>
      </c>
      <c r="E121">
        <v>189</v>
      </c>
      <c r="F121">
        <v>3325</v>
      </c>
      <c r="G121" t="s">
        <v>9</v>
      </c>
    </row>
    <row r="122" spans="1:7">
      <c r="A122" t="s">
        <v>7</v>
      </c>
      <c r="B122" t="s">
        <v>8</v>
      </c>
      <c r="C122">
        <v>36.2</v>
      </c>
      <c r="D122">
        <v>17.2</v>
      </c>
      <c r="E122">
        <v>187</v>
      </c>
      <c r="F122">
        <v>3150</v>
      </c>
      <c r="G122" t="s">
        <v>10</v>
      </c>
    </row>
    <row r="123" spans="1:7">
      <c r="A123" t="s">
        <v>7</v>
      </c>
      <c r="B123" t="s">
        <v>8</v>
      </c>
      <c r="C123">
        <v>37.7</v>
      </c>
      <c r="D123">
        <v>19.8</v>
      </c>
      <c r="E123">
        <v>198</v>
      </c>
      <c r="F123">
        <v>3500</v>
      </c>
      <c r="G123" t="s">
        <v>9</v>
      </c>
    </row>
    <row r="124" spans="1:7">
      <c r="A124" t="s">
        <v>7</v>
      </c>
      <c r="B124" t="s">
        <v>8</v>
      </c>
      <c r="C124">
        <v>40.2</v>
      </c>
      <c r="D124">
        <v>17</v>
      </c>
      <c r="E124">
        <v>176</v>
      </c>
      <c r="F124">
        <v>3450</v>
      </c>
      <c r="G124" t="s">
        <v>10</v>
      </c>
    </row>
    <row r="125" spans="1:7">
      <c r="A125" t="s">
        <v>7</v>
      </c>
      <c r="B125" t="s">
        <v>8</v>
      </c>
      <c r="C125">
        <v>41.4</v>
      </c>
      <c r="D125">
        <v>18.5</v>
      </c>
      <c r="E125">
        <v>202</v>
      </c>
      <c r="F125">
        <v>3875</v>
      </c>
      <c r="G125" t="s">
        <v>9</v>
      </c>
    </row>
    <row r="126" spans="1:7">
      <c r="A126" t="s">
        <v>7</v>
      </c>
      <c r="B126" t="s">
        <v>8</v>
      </c>
      <c r="C126">
        <v>35.2</v>
      </c>
      <c r="D126">
        <v>15.9</v>
      </c>
      <c r="E126">
        <v>186</v>
      </c>
      <c r="F126">
        <v>3050</v>
      </c>
      <c r="G126" t="s">
        <v>10</v>
      </c>
    </row>
    <row r="127" spans="1:7">
      <c r="A127" t="s">
        <v>7</v>
      </c>
      <c r="B127" t="s">
        <v>8</v>
      </c>
      <c r="C127">
        <v>40.6</v>
      </c>
      <c r="D127">
        <v>19</v>
      </c>
      <c r="E127">
        <v>199</v>
      </c>
      <c r="F127">
        <v>4000</v>
      </c>
      <c r="G127" t="s">
        <v>9</v>
      </c>
    </row>
    <row r="128" spans="1:7">
      <c r="A128" t="s">
        <v>7</v>
      </c>
      <c r="B128" t="s">
        <v>8</v>
      </c>
      <c r="C128">
        <v>38.8</v>
      </c>
      <c r="D128">
        <v>17.6</v>
      </c>
      <c r="E128">
        <v>191</v>
      </c>
      <c r="F128">
        <v>3275</v>
      </c>
      <c r="G128" t="s">
        <v>10</v>
      </c>
    </row>
    <row r="129" spans="1:7">
      <c r="A129" t="s">
        <v>7</v>
      </c>
      <c r="B129" t="s">
        <v>8</v>
      </c>
      <c r="C129">
        <v>41.5</v>
      </c>
      <c r="D129">
        <v>18.3</v>
      </c>
      <c r="E129">
        <v>195</v>
      </c>
      <c r="F129">
        <v>4300</v>
      </c>
      <c r="G129" t="s">
        <v>9</v>
      </c>
    </row>
    <row r="130" spans="1:7">
      <c r="A130" t="s">
        <v>7</v>
      </c>
      <c r="B130" t="s">
        <v>8</v>
      </c>
      <c r="C130">
        <v>39</v>
      </c>
      <c r="D130">
        <v>17.1</v>
      </c>
      <c r="E130">
        <v>191</v>
      </c>
      <c r="F130">
        <v>3050</v>
      </c>
      <c r="G130" t="s">
        <v>10</v>
      </c>
    </row>
    <row r="131" spans="1:7">
      <c r="A131" t="s">
        <v>7</v>
      </c>
      <c r="B131" t="s">
        <v>8</v>
      </c>
      <c r="C131">
        <v>44.1</v>
      </c>
      <c r="D131">
        <v>18</v>
      </c>
      <c r="E131">
        <v>210</v>
      </c>
      <c r="F131">
        <v>4000</v>
      </c>
      <c r="G131" t="s">
        <v>9</v>
      </c>
    </row>
    <row r="132" spans="1:7">
      <c r="A132" t="s">
        <v>7</v>
      </c>
      <c r="B132" t="s">
        <v>8</v>
      </c>
      <c r="C132">
        <v>38.5</v>
      </c>
      <c r="D132">
        <v>17.9</v>
      </c>
      <c r="E132">
        <v>190</v>
      </c>
      <c r="F132">
        <v>3325</v>
      </c>
      <c r="G132" t="s">
        <v>10</v>
      </c>
    </row>
    <row r="133" spans="1:7">
      <c r="A133" t="s">
        <v>7</v>
      </c>
      <c r="B133" t="s">
        <v>8</v>
      </c>
      <c r="C133">
        <v>43.1</v>
      </c>
      <c r="D133">
        <v>19.2</v>
      </c>
      <c r="E133">
        <v>197</v>
      </c>
      <c r="F133">
        <v>3500</v>
      </c>
      <c r="G133" t="s">
        <v>9</v>
      </c>
    </row>
    <row r="134" spans="1:7">
      <c r="A134" t="s">
        <v>7</v>
      </c>
      <c r="B134" t="s">
        <v>13</v>
      </c>
      <c r="C134">
        <v>36.8</v>
      </c>
      <c r="D134">
        <v>18.5</v>
      </c>
      <c r="E134">
        <v>193</v>
      </c>
      <c r="F134">
        <v>3500</v>
      </c>
      <c r="G134" t="s">
        <v>10</v>
      </c>
    </row>
    <row r="135" spans="1:7">
      <c r="A135" t="s">
        <v>7</v>
      </c>
      <c r="B135" t="s">
        <v>13</v>
      </c>
      <c r="C135">
        <v>37.5</v>
      </c>
      <c r="D135">
        <v>18.5</v>
      </c>
      <c r="E135">
        <v>199</v>
      </c>
      <c r="F135">
        <v>4475</v>
      </c>
      <c r="G135" t="s">
        <v>9</v>
      </c>
    </row>
    <row r="136" spans="1:7">
      <c r="A136" t="s">
        <v>7</v>
      </c>
      <c r="B136" t="s">
        <v>13</v>
      </c>
      <c r="C136">
        <v>38.1</v>
      </c>
      <c r="D136">
        <v>17.6</v>
      </c>
      <c r="E136">
        <v>187</v>
      </c>
      <c r="F136">
        <v>3425</v>
      </c>
      <c r="G136" t="s">
        <v>10</v>
      </c>
    </row>
    <row r="137" spans="1:7">
      <c r="A137" t="s">
        <v>7</v>
      </c>
      <c r="B137" t="s">
        <v>13</v>
      </c>
      <c r="C137">
        <v>41.1</v>
      </c>
      <c r="D137">
        <v>17.5</v>
      </c>
      <c r="E137">
        <v>190</v>
      </c>
      <c r="F137">
        <v>3900</v>
      </c>
      <c r="G137" t="s">
        <v>9</v>
      </c>
    </row>
    <row r="138" spans="1:7">
      <c r="A138" t="s">
        <v>7</v>
      </c>
      <c r="B138" t="s">
        <v>13</v>
      </c>
      <c r="C138">
        <v>35.6</v>
      </c>
      <c r="D138">
        <v>17.5</v>
      </c>
      <c r="E138">
        <v>191</v>
      </c>
      <c r="F138">
        <v>3175</v>
      </c>
      <c r="G138" t="s">
        <v>10</v>
      </c>
    </row>
    <row r="139" spans="1:7">
      <c r="A139" t="s">
        <v>7</v>
      </c>
      <c r="B139" t="s">
        <v>13</v>
      </c>
      <c r="C139">
        <v>40.2</v>
      </c>
      <c r="D139">
        <v>20.1</v>
      </c>
      <c r="E139">
        <v>200</v>
      </c>
      <c r="F139">
        <v>3975</v>
      </c>
      <c r="G139" t="s">
        <v>9</v>
      </c>
    </row>
    <row r="140" spans="1:7">
      <c r="A140" t="s">
        <v>7</v>
      </c>
      <c r="B140" t="s">
        <v>13</v>
      </c>
      <c r="C140">
        <v>37</v>
      </c>
      <c r="D140">
        <v>16.5</v>
      </c>
      <c r="E140">
        <v>185</v>
      </c>
      <c r="F140">
        <v>3400</v>
      </c>
      <c r="G140" t="s">
        <v>10</v>
      </c>
    </row>
    <row r="141" spans="1:7">
      <c r="A141" t="s">
        <v>7</v>
      </c>
      <c r="B141" t="s">
        <v>13</v>
      </c>
      <c r="C141">
        <v>39.7</v>
      </c>
      <c r="D141">
        <v>17.9</v>
      </c>
      <c r="E141">
        <v>193</v>
      </c>
      <c r="F141">
        <v>4250</v>
      </c>
      <c r="G141" t="s">
        <v>9</v>
      </c>
    </row>
    <row r="142" spans="1:7">
      <c r="A142" t="s">
        <v>7</v>
      </c>
      <c r="B142" t="s">
        <v>13</v>
      </c>
      <c r="C142">
        <v>40.2</v>
      </c>
      <c r="D142">
        <v>17.1</v>
      </c>
      <c r="E142">
        <v>193</v>
      </c>
      <c r="F142">
        <v>3400</v>
      </c>
      <c r="G142" t="s">
        <v>10</v>
      </c>
    </row>
    <row r="143" spans="1:7">
      <c r="A143" t="s">
        <v>7</v>
      </c>
      <c r="B143" t="s">
        <v>13</v>
      </c>
      <c r="C143">
        <v>40.6</v>
      </c>
      <c r="D143">
        <v>17.2</v>
      </c>
      <c r="E143">
        <v>187</v>
      </c>
      <c r="F143">
        <v>3475</v>
      </c>
      <c r="G143" t="s">
        <v>9</v>
      </c>
    </row>
    <row r="144" spans="1:7">
      <c r="A144" t="s">
        <v>7</v>
      </c>
      <c r="B144" t="s">
        <v>13</v>
      </c>
      <c r="C144">
        <v>32.1</v>
      </c>
      <c r="D144">
        <v>15.5</v>
      </c>
      <c r="E144">
        <v>188</v>
      </c>
      <c r="F144">
        <v>3050</v>
      </c>
      <c r="G144" t="s">
        <v>10</v>
      </c>
    </row>
    <row r="145" spans="1:7">
      <c r="A145" t="s">
        <v>7</v>
      </c>
      <c r="B145" t="s">
        <v>13</v>
      </c>
      <c r="C145">
        <v>40.7</v>
      </c>
      <c r="D145">
        <v>17</v>
      </c>
      <c r="E145">
        <v>190</v>
      </c>
      <c r="F145">
        <v>3725</v>
      </c>
      <c r="G145" t="s">
        <v>9</v>
      </c>
    </row>
    <row r="146" spans="1:7">
      <c r="A146" t="s">
        <v>7</v>
      </c>
      <c r="B146" t="s">
        <v>13</v>
      </c>
      <c r="C146">
        <v>37.3</v>
      </c>
      <c r="D146">
        <v>16.8</v>
      </c>
      <c r="E146">
        <v>192</v>
      </c>
      <c r="F146">
        <v>3000</v>
      </c>
      <c r="G146" t="s">
        <v>10</v>
      </c>
    </row>
    <row r="147" spans="1:7">
      <c r="A147" t="s">
        <v>7</v>
      </c>
      <c r="B147" t="s">
        <v>13</v>
      </c>
      <c r="C147">
        <v>39</v>
      </c>
      <c r="D147">
        <v>18.7</v>
      </c>
      <c r="E147">
        <v>185</v>
      </c>
      <c r="F147">
        <v>3650</v>
      </c>
      <c r="G147" t="s">
        <v>9</v>
      </c>
    </row>
    <row r="148" spans="1:7">
      <c r="A148" t="s">
        <v>7</v>
      </c>
      <c r="B148" t="s">
        <v>13</v>
      </c>
      <c r="C148">
        <v>39.2</v>
      </c>
      <c r="D148">
        <v>18.6</v>
      </c>
      <c r="E148">
        <v>190</v>
      </c>
      <c r="F148">
        <v>4250</v>
      </c>
      <c r="G148" t="s">
        <v>9</v>
      </c>
    </row>
    <row r="149" spans="1:7">
      <c r="A149" t="s">
        <v>7</v>
      </c>
      <c r="B149" t="s">
        <v>13</v>
      </c>
      <c r="C149">
        <v>36.6</v>
      </c>
      <c r="D149">
        <v>18.4</v>
      </c>
      <c r="E149">
        <v>184</v>
      </c>
      <c r="F149">
        <v>3475</v>
      </c>
      <c r="G149" t="s">
        <v>10</v>
      </c>
    </row>
    <row r="150" spans="1:7">
      <c r="A150" t="s">
        <v>7</v>
      </c>
      <c r="B150" t="s">
        <v>13</v>
      </c>
      <c r="C150">
        <v>36</v>
      </c>
      <c r="D150">
        <v>17.8</v>
      </c>
      <c r="E150">
        <v>195</v>
      </c>
      <c r="F150">
        <v>3450</v>
      </c>
      <c r="G150" t="s">
        <v>10</v>
      </c>
    </row>
    <row r="151" spans="1:7">
      <c r="A151" t="s">
        <v>7</v>
      </c>
      <c r="B151" t="s">
        <v>13</v>
      </c>
      <c r="C151">
        <v>37.8</v>
      </c>
      <c r="D151">
        <v>18.1</v>
      </c>
      <c r="E151">
        <v>193</v>
      </c>
      <c r="F151">
        <v>3750</v>
      </c>
      <c r="G151" t="s">
        <v>9</v>
      </c>
    </row>
    <row r="152" spans="1:7">
      <c r="A152" t="s">
        <v>7</v>
      </c>
      <c r="B152" t="s">
        <v>13</v>
      </c>
      <c r="C152">
        <v>36</v>
      </c>
      <c r="D152">
        <v>17.1</v>
      </c>
      <c r="E152">
        <v>187</v>
      </c>
      <c r="F152">
        <v>3700</v>
      </c>
      <c r="G152" t="s">
        <v>10</v>
      </c>
    </row>
    <row r="153" spans="1:7">
      <c r="A153" t="s">
        <v>7</v>
      </c>
      <c r="B153" t="s">
        <v>13</v>
      </c>
      <c r="C153">
        <v>41.5</v>
      </c>
      <c r="D153">
        <v>18.5</v>
      </c>
      <c r="E153">
        <v>201</v>
      </c>
      <c r="F153">
        <v>4000</v>
      </c>
      <c r="G153" t="s">
        <v>9</v>
      </c>
    </row>
    <row r="154" spans="1:7">
      <c r="A154" t="s">
        <v>14</v>
      </c>
      <c r="B154" t="s">
        <v>13</v>
      </c>
      <c r="C154">
        <v>46.5</v>
      </c>
      <c r="D154">
        <v>17.9</v>
      </c>
      <c r="E154">
        <v>192</v>
      </c>
      <c r="F154">
        <v>3500</v>
      </c>
      <c r="G154" t="s">
        <v>10</v>
      </c>
    </row>
    <row r="155" spans="1:7">
      <c r="A155" t="s">
        <v>14</v>
      </c>
      <c r="B155" t="s">
        <v>13</v>
      </c>
      <c r="C155">
        <v>50</v>
      </c>
      <c r="D155">
        <v>19.5</v>
      </c>
      <c r="E155">
        <v>196</v>
      </c>
      <c r="F155">
        <v>3900</v>
      </c>
      <c r="G155" t="s">
        <v>9</v>
      </c>
    </row>
    <row r="156" spans="1:7">
      <c r="A156" t="s">
        <v>14</v>
      </c>
      <c r="B156" t="s">
        <v>13</v>
      </c>
      <c r="C156">
        <v>51.3</v>
      </c>
      <c r="D156">
        <v>19.2</v>
      </c>
      <c r="E156">
        <v>193</v>
      </c>
      <c r="F156">
        <v>3650</v>
      </c>
      <c r="G156" t="s">
        <v>9</v>
      </c>
    </row>
    <row r="157" spans="1:7">
      <c r="A157" t="s">
        <v>14</v>
      </c>
      <c r="B157" t="s">
        <v>13</v>
      </c>
      <c r="C157">
        <v>45.4</v>
      </c>
      <c r="D157">
        <v>18.7</v>
      </c>
      <c r="E157">
        <v>188</v>
      </c>
      <c r="F157">
        <v>3525</v>
      </c>
      <c r="G157" t="s">
        <v>10</v>
      </c>
    </row>
    <row r="158" spans="1:7">
      <c r="A158" t="s">
        <v>14</v>
      </c>
      <c r="B158" t="s">
        <v>13</v>
      </c>
      <c r="C158">
        <v>52.7</v>
      </c>
      <c r="D158">
        <v>19.8</v>
      </c>
      <c r="E158">
        <v>197</v>
      </c>
      <c r="F158">
        <v>3725</v>
      </c>
      <c r="G158" t="s">
        <v>9</v>
      </c>
    </row>
    <row r="159" spans="1:7">
      <c r="A159" t="s">
        <v>14</v>
      </c>
      <c r="B159" t="s">
        <v>13</v>
      </c>
      <c r="C159">
        <v>45.2</v>
      </c>
      <c r="D159">
        <v>17.8</v>
      </c>
      <c r="E159">
        <v>198</v>
      </c>
      <c r="F159">
        <v>3950</v>
      </c>
      <c r="G159" t="s">
        <v>10</v>
      </c>
    </row>
    <row r="160" spans="1:7">
      <c r="A160" t="s">
        <v>14</v>
      </c>
      <c r="B160" t="s">
        <v>13</v>
      </c>
      <c r="C160">
        <v>46.1</v>
      </c>
      <c r="D160">
        <v>18.2</v>
      </c>
      <c r="E160">
        <v>178</v>
      </c>
      <c r="F160">
        <v>3250</v>
      </c>
      <c r="G160" t="s">
        <v>10</v>
      </c>
    </row>
    <row r="161" spans="1:7">
      <c r="A161" t="s">
        <v>14</v>
      </c>
      <c r="B161" t="s">
        <v>13</v>
      </c>
      <c r="C161">
        <v>51.3</v>
      </c>
      <c r="D161">
        <v>18.2</v>
      </c>
      <c r="E161">
        <v>197</v>
      </c>
      <c r="F161">
        <v>3750</v>
      </c>
      <c r="G161" t="s">
        <v>9</v>
      </c>
    </row>
    <row r="162" spans="1:7">
      <c r="A162" t="s">
        <v>14</v>
      </c>
      <c r="B162" t="s">
        <v>13</v>
      </c>
      <c r="C162">
        <v>46</v>
      </c>
      <c r="D162">
        <v>18.9</v>
      </c>
      <c r="E162">
        <v>195</v>
      </c>
      <c r="F162">
        <v>4150</v>
      </c>
      <c r="G162" t="s">
        <v>10</v>
      </c>
    </row>
    <row r="163" spans="1:7">
      <c r="A163" t="s">
        <v>14</v>
      </c>
      <c r="B163" t="s">
        <v>13</v>
      </c>
      <c r="C163">
        <v>51.3</v>
      </c>
      <c r="D163">
        <v>19.9</v>
      </c>
      <c r="E163">
        <v>198</v>
      </c>
      <c r="F163">
        <v>3700</v>
      </c>
      <c r="G163" t="s">
        <v>9</v>
      </c>
    </row>
    <row r="164" spans="1:7">
      <c r="A164" t="s">
        <v>14</v>
      </c>
      <c r="B164" t="s">
        <v>13</v>
      </c>
      <c r="C164">
        <v>46.6</v>
      </c>
      <c r="D164">
        <v>17.8</v>
      </c>
      <c r="E164">
        <v>193</v>
      </c>
      <c r="F164">
        <v>3800</v>
      </c>
      <c r="G164" t="s">
        <v>10</v>
      </c>
    </row>
    <row r="165" spans="1:7">
      <c r="A165" t="s">
        <v>14</v>
      </c>
      <c r="B165" t="s">
        <v>13</v>
      </c>
      <c r="C165">
        <v>51.7</v>
      </c>
      <c r="D165">
        <v>20.3</v>
      </c>
      <c r="E165">
        <v>194</v>
      </c>
      <c r="F165">
        <v>3775</v>
      </c>
      <c r="G165" t="s">
        <v>9</v>
      </c>
    </row>
    <row r="166" spans="1:7">
      <c r="A166" t="s">
        <v>14</v>
      </c>
      <c r="B166" t="s">
        <v>13</v>
      </c>
      <c r="C166">
        <v>47</v>
      </c>
      <c r="D166">
        <v>17.3</v>
      </c>
      <c r="E166">
        <v>185</v>
      </c>
      <c r="F166">
        <v>3700</v>
      </c>
      <c r="G166" t="s">
        <v>10</v>
      </c>
    </row>
    <row r="167" spans="1:7">
      <c r="A167" t="s">
        <v>14</v>
      </c>
      <c r="B167" t="s">
        <v>13</v>
      </c>
      <c r="C167">
        <v>52</v>
      </c>
      <c r="D167">
        <v>18.1</v>
      </c>
      <c r="E167">
        <v>201</v>
      </c>
      <c r="F167">
        <v>4050</v>
      </c>
      <c r="G167" t="s">
        <v>9</v>
      </c>
    </row>
    <row r="168" spans="1:7">
      <c r="A168" t="s">
        <v>14</v>
      </c>
      <c r="B168" t="s">
        <v>13</v>
      </c>
      <c r="C168">
        <v>45.9</v>
      </c>
      <c r="D168">
        <v>17.1</v>
      </c>
      <c r="E168">
        <v>190</v>
      </c>
      <c r="F168">
        <v>3575</v>
      </c>
      <c r="G168" t="s">
        <v>10</v>
      </c>
    </row>
    <row r="169" spans="1:7">
      <c r="A169" t="s">
        <v>14</v>
      </c>
      <c r="B169" t="s">
        <v>13</v>
      </c>
      <c r="C169">
        <v>50.5</v>
      </c>
      <c r="D169">
        <v>19.6</v>
      </c>
      <c r="E169">
        <v>201</v>
      </c>
      <c r="F169">
        <v>4050</v>
      </c>
      <c r="G169" t="s">
        <v>9</v>
      </c>
    </row>
    <row r="170" spans="1:7">
      <c r="A170" t="s">
        <v>14</v>
      </c>
      <c r="B170" t="s">
        <v>13</v>
      </c>
      <c r="C170">
        <v>50.3</v>
      </c>
      <c r="D170">
        <v>20</v>
      </c>
      <c r="E170">
        <v>197</v>
      </c>
      <c r="F170">
        <v>3300</v>
      </c>
      <c r="G170" t="s">
        <v>9</v>
      </c>
    </row>
    <row r="171" spans="1:7">
      <c r="A171" t="s">
        <v>14</v>
      </c>
      <c r="B171" t="s">
        <v>13</v>
      </c>
      <c r="C171">
        <v>58</v>
      </c>
      <c r="D171">
        <v>17.8</v>
      </c>
      <c r="E171">
        <v>181</v>
      </c>
      <c r="F171">
        <v>3700</v>
      </c>
      <c r="G171" t="s">
        <v>10</v>
      </c>
    </row>
    <row r="172" spans="1:7">
      <c r="A172" t="s">
        <v>14</v>
      </c>
      <c r="B172" t="s">
        <v>13</v>
      </c>
      <c r="C172">
        <v>46.4</v>
      </c>
      <c r="D172">
        <v>18.6</v>
      </c>
      <c r="E172">
        <v>190</v>
      </c>
      <c r="F172">
        <v>3450</v>
      </c>
      <c r="G172" t="s">
        <v>10</v>
      </c>
    </row>
    <row r="173" spans="1:7">
      <c r="A173" t="s">
        <v>14</v>
      </c>
      <c r="B173" t="s">
        <v>13</v>
      </c>
      <c r="C173">
        <v>49.2</v>
      </c>
      <c r="D173">
        <v>18.2</v>
      </c>
      <c r="E173">
        <v>195</v>
      </c>
      <c r="F173">
        <v>4400</v>
      </c>
      <c r="G173" t="s">
        <v>9</v>
      </c>
    </row>
    <row r="174" spans="1:7">
      <c r="A174" t="s">
        <v>14</v>
      </c>
      <c r="B174" t="s">
        <v>13</v>
      </c>
      <c r="C174">
        <v>42.4</v>
      </c>
      <c r="D174">
        <v>17.3</v>
      </c>
      <c r="E174">
        <v>181</v>
      </c>
      <c r="F174">
        <v>3600</v>
      </c>
      <c r="G174" t="s">
        <v>10</v>
      </c>
    </row>
    <row r="175" spans="1:7">
      <c r="A175" t="s">
        <v>14</v>
      </c>
      <c r="B175" t="s">
        <v>13</v>
      </c>
      <c r="C175">
        <v>48.5</v>
      </c>
      <c r="D175">
        <v>17.5</v>
      </c>
      <c r="E175">
        <v>191</v>
      </c>
      <c r="F175">
        <v>3400</v>
      </c>
      <c r="G175" t="s">
        <v>9</v>
      </c>
    </row>
    <row r="176" spans="1:7">
      <c r="A176" t="s">
        <v>14</v>
      </c>
      <c r="B176" t="s">
        <v>13</v>
      </c>
      <c r="C176">
        <v>43.2</v>
      </c>
      <c r="D176">
        <v>16.6</v>
      </c>
      <c r="E176">
        <v>187</v>
      </c>
      <c r="F176">
        <v>2900</v>
      </c>
      <c r="G176" t="s">
        <v>10</v>
      </c>
    </row>
    <row r="177" spans="1:7">
      <c r="A177" t="s">
        <v>14</v>
      </c>
      <c r="B177" t="s">
        <v>13</v>
      </c>
      <c r="C177">
        <v>50.6</v>
      </c>
      <c r="D177">
        <v>19.4</v>
      </c>
      <c r="E177">
        <v>193</v>
      </c>
      <c r="F177">
        <v>3800</v>
      </c>
      <c r="G177" t="s">
        <v>9</v>
      </c>
    </row>
    <row r="178" spans="1:7">
      <c r="A178" t="s">
        <v>14</v>
      </c>
      <c r="B178" t="s">
        <v>13</v>
      </c>
      <c r="C178">
        <v>46.7</v>
      </c>
      <c r="D178">
        <v>17.9</v>
      </c>
      <c r="E178">
        <v>195</v>
      </c>
      <c r="F178">
        <v>3300</v>
      </c>
      <c r="G178" t="s">
        <v>10</v>
      </c>
    </row>
    <row r="179" spans="1:7">
      <c r="A179" t="s">
        <v>14</v>
      </c>
      <c r="B179" t="s">
        <v>13</v>
      </c>
      <c r="C179">
        <v>52</v>
      </c>
      <c r="D179">
        <v>19</v>
      </c>
      <c r="E179">
        <v>197</v>
      </c>
      <c r="F179">
        <v>4150</v>
      </c>
      <c r="G179" t="s">
        <v>9</v>
      </c>
    </row>
    <row r="180" spans="1:7">
      <c r="A180" t="s">
        <v>14</v>
      </c>
      <c r="B180" t="s">
        <v>13</v>
      </c>
      <c r="C180">
        <v>50.5</v>
      </c>
      <c r="D180">
        <v>18.4</v>
      </c>
      <c r="E180">
        <v>200</v>
      </c>
      <c r="F180">
        <v>3400</v>
      </c>
      <c r="G180" t="s">
        <v>10</v>
      </c>
    </row>
    <row r="181" spans="1:7">
      <c r="A181" t="s">
        <v>14</v>
      </c>
      <c r="B181" t="s">
        <v>13</v>
      </c>
      <c r="C181">
        <v>49.5</v>
      </c>
      <c r="D181">
        <v>19</v>
      </c>
      <c r="E181">
        <v>200</v>
      </c>
      <c r="F181">
        <v>3800</v>
      </c>
      <c r="G181" t="s">
        <v>9</v>
      </c>
    </row>
    <row r="182" spans="1:7">
      <c r="A182" t="s">
        <v>14</v>
      </c>
      <c r="B182" t="s">
        <v>13</v>
      </c>
      <c r="C182">
        <v>46.4</v>
      </c>
      <c r="D182">
        <v>17.8</v>
      </c>
      <c r="E182">
        <v>191</v>
      </c>
      <c r="F182">
        <v>3700</v>
      </c>
      <c r="G182" t="s">
        <v>10</v>
      </c>
    </row>
    <row r="183" spans="1:7">
      <c r="A183" t="s">
        <v>14</v>
      </c>
      <c r="B183" t="s">
        <v>13</v>
      </c>
      <c r="C183">
        <v>52.8</v>
      </c>
      <c r="D183">
        <v>20</v>
      </c>
      <c r="E183">
        <v>205</v>
      </c>
      <c r="F183">
        <v>4550</v>
      </c>
      <c r="G183" t="s">
        <v>9</v>
      </c>
    </row>
    <row r="184" spans="1:7">
      <c r="A184" t="s">
        <v>14</v>
      </c>
      <c r="B184" t="s">
        <v>13</v>
      </c>
      <c r="C184">
        <v>40.9</v>
      </c>
      <c r="D184">
        <v>16.6</v>
      </c>
      <c r="E184">
        <v>187</v>
      </c>
      <c r="F184">
        <v>3200</v>
      </c>
      <c r="G184" t="s">
        <v>10</v>
      </c>
    </row>
    <row r="185" spans="1:7">
      <c r="A185" t="s">
        <v>14</v>
      </c>
      <c r="B185" t="s">
        <v>13</v>
      </c>
      <c r="C185">
        <v>54.2</v>
      </c>
      <c r="D185">
        <v>20.8</v>
      </c>
      <c r="E185">
        <v>201</v>
      </c>
      <c r="F185">
        <v>4300</v>
      </c>
      <c r="G185" t="s">
        <v>9</v>
      </c>
    </row>
    <row r="186" spans="1:7">
      <c r="A186" t="s">
        <v>14</v>
      </c>
      <c r="B186" t="s">
        <v>13</v>
      </c>
      <c r="C186">
        <v>42.5</v>
      </c>
      <c r="D186">
        <v>16.7</v>
      </c>
      <c r="E186">
        <v>187</v>
      </c>
      <c r="F186">
        <v>3350</v>
      </c>
      <c r="G186" t="s">
        <v>10</v>
      </c>
    </row>
    <row r="187" spans="1:7">
      <c r="A187" t="s">
        <v>14</v>
      </c>
      <c r="B187" t="s">
        <v>13</v>
      </c>
      <c r="C187">
        <v>51</v>
      </c>
      <c r="D187">
        <v>18.8</v>
      </c>
      <c r="E187">
        <v>203</v>
      </c>
      <c r="F187">
        <v>4100</v>
      </c>
      <c r="G187" t="s">
        <v>9</v>
      </c>
    </row>
    <row r="188" spans="1:7">
      <c r="A188" t="s">
        <v>14</v>
      </c>
      <c r="B188" t="s">
        <v>13</v>
      </c>
      <c r="C188">
        <v>49.7</v>
      </c>
      <c r="D188">
        <v>18.6</v>
      </c>
      <c r="E188">
        <v>195</v>
      </c>
      <c r="F188">
        <v>3600</v>
      </c>
      <c r="G188" t="s">
        <v>9</v>
      </c>
    </row>
    <row r="189" spans="1:7">
      <c r="A189" t="s">
        <v>14</v>
      </c>
      <c r="B189" t="s">
        <v>13</v>
      </c>
      <c r="C189">
        <v>47.5</v>
      </c>
      <c r="D189">
        <v>16.8</v>
      </c>
      <c r="E189">
        <v>199</v>
      </c>
      <c r="F189">
        <v>3900</v>
      </c>
      <c r="G189" t="s">
        <v>10</v>
      </c>
    </row>
    <row r="190" spans="1:7">
      <c r="A190" t="s">
        <v>14</v>
      </c>
      <c r="B190" t="s">
        <v>13</v>
      </c>
      <c r="C190">
        <v>47.6</v>
      </c>
      <c r="D190">
        <v>18.3</v>
      </c>
      <c r="E190">
        <v>195</v>
      </c>
      <c r="F190">
        <v>3850</v>
      </c>
      <c r="G190" t="s">
        <v>10</v>
      </c>
    </row>
    <row r="191" spans="1:7">
      <c r="A191" t="s">
        <v>14</v>
      </c>
      <c r="B191" t="s">
        <v>13</v>
      </c>
      <c r="C191">
        <v>52</v>
      </c>
      <c r="D191">
        <v>20.7</v>
      </c>
      <c r="E191">
        <v>210</v>
      </c>
      <c r="F191">
        <v>4800</v>
      </c>
      <c r="G191" t="s">
        <v>9</v>
      </c>
    </row>
    <row r="192" spans="1:7">
      <c r="A192" t="s">
        <v>14</v>
      </c>
      <c r="B192" t="s">
        <v>13</v>
      </c>
      <c r="C192">
        <v>46.9</v>
      </c>
      <c r="D192">
        <v>16.6</v>
      </c>
      <c r="E192">
        <v>192</v>
      </c>
      <c r="F192">
        <v>2700</v>
      </c>
      <c r="G192" t="s">
        <v>10</v>
      </c>
    </row>
    <row r="193" spans="1:7">
      <c r="A193" t="s">
        <v>14</v>
      </c>
      <c r="B193" t="s">
        <v>13</v>
      </c>
      <c r="C193">
        <v>53.5</v>
      </c>
      <c r="D193">
        <v>19.9</v>
      </c>
      <c r="E193">
        <v>205</v>
      </c>
      <c r="F193">
        <v>4500</v>
      </c>
      <c r="G193" t="s">
        <v>9</v>
      </c>
    </row>
    <row r="194" spans="1:7">
      <c r="A194" t="s">
        <v>14</v>
      </c>
      <c r="B194" t="s">
        <v>13</v>
      </c>
      <c r="C194">
        <v>49</v>
      </c>
      <c r="D194">
        <v>19.5</v>
      </c>
      <c r="E194">
        <v>210</v>
      </c>
      <c r="F194">
        <v>3950</v>
      </c>
      <c r="G194" t="s">
        <v>9</v>
      </c>
    </row>
    <row r="195" spans="1:7">
      <c r="A195" t="s">
        <v>14</v>
      </c>
      <c r="B195" t="s">
        <v>13</v>
      </c>
      <c r="C195">
        <v>46.2</v>
      </c>
      <c r="D195">
        <v>17.5</v>
      </c>
      <c r="E195">
        <v>187</v>
      </c>
      <c r="F195">
        <v>3650</v>
      </c>
      <c r="G195" t="s">
        <v>10</v>
      </c>
    </row>
    <row r="196" spans="1:7">
      <c r="A196" t="s">
        <v>14</v>
      </c>
      <c r="B196" t="s">
        <v>13</v>
      </c>
      <c r="C196">
        <v>50.9</v>
      </c>
      <c r="D196">
        <v>19.1</v>
      </c>
      <c r="E196">
        <v>196</v>
      </c>
      <c r="F196">
        <v>3550</v>
      </c>
      <c r="G196" t="s">
        <v>9</v>
      </c>
    </row>
    <row r="197" spans="1:7">
      <c r="A197" t="s">
        <v>14</v>
      </c>
      <c r="B197" t="s">
        <v>13</v>
      </c>
      <c r="C197">
        <v>45.5</v>
      </c>
      <c r="D197">
        <v>17</v>
      </c>
      <c r="E197">
        <v>196</v>
      </c>
      <c r="F197">
        <v>3500</v>
      </c>
      <c r="G197" t="s">
        <v>10</v>
      </c>
    </row>
    <row r="198" spans="1:7">
      <c r="A198" t="s">
        <v>14</v>
      </c>
      <c r="B198" t="s">
        <v>13</v>
      </c>
      <c r="C198">
        <v>50.9</v>
      </c>
      <c r="D198">
        <v>17.9</v>
      </c>
      <c r="E198">
        <v>196</v>
      </c>
      <c r="F198">
        <v>3675</v>
      </c>
      <c r="G198" t="s">
        <v>10</v>
      </c>
    </row>
    <row r="199" spans="1:7">
      <c r="A199" t="s">
        <v>14</v>
      </c>
      <c r="B199" t="s">
        <v>13</v>
      </c>
      <c r="C199">
        <v>50.8</v>
      </c>
      <c r="D199">
        <v>18.5</v>
      </c>
      <c r="E199">
        <v>201</v>
      </c>
      <c r="F199">
        <v>4450</v>
      </c>
      <c r="G199" t="s">
        <v>9</v>
      </c>
    </row>
    <row r="200" spans="1:7">
      <c r="A200" t="s">
        <v>14</v>
      </c>
      <c r="B200" t="s">
        <v>13</v>
      </c>
      <c r="C200">
        <v>50.1</v>
      </c>
      <c r="D200">
        <v>17.9</v>
      </c>
      <c r="E200">
        <v>190</v>
      </c>
      <c r="F200">
        <v>3400</v>
      </c>
      <c r="G200" t="s">
        <v>10</v>
      </c>
    </row>
    <row r="201" spans="1:7">
      <c r="A201" t="s">
        <v>14</v>
      </c>
      <c r="B201" t="s">
        <v>13</v>
      </c>
      <c r="C201">
        <v>49</v>
      </c>
      <c r="D201">
        <v>19.6</v>
      </c>
      <c r="E201">
        <v>212</v>
      </c>
      <c r="F201">
        <v>4300</v>
      </c>
      <c r="G201" t="s">
        <v>9</v>
      </c>
    </row>
    <row r="202" spans="1:7">
      <c r="A202" t="s">
        <v>14</v>
      </c>
      <c r="B202" t="s">
        <v>13</v>
      </c>
      <c r="C202">
        <v>51.5</v>
      </c>
      <c r="D202">
        <v>18.7</v>
      </c>
      <c r="E202">
        <v>187</v>
      </c>
      <c r="F202">
        <v>3250</v>
      </c>
      <c r="G202" t="s">
        <v>9</v>
      </c>
    </row>
    <row r="203" spans="1:7">
      <c r="A203" t="s">
        <v>14</v>
      </c>
      <c r="B203" t="s">
        <v>13</v>
      </c>
      <c r="C203">
        <v>49.8</v>
      </c>
      <c r="D203">
        <v>17.3</v>
      </c>
      <c r="E203">
        <v>198</v>
      </c>
      <c r="F203">
        <v>3675</v>
      </c>
      <c r="G203" t="s">
        <v>10</v>
      </c>
    </row>
    <row r="204" spans="1:7">
      <c r="A204" t="s">
        <v>14</v>
      </c>
      <c r="B204" t="s">
        <v>13</v>
      </c>
      <c r="C204">
        <v>48.1</v>
      </c>
      <c r="D204">
        <v>16.4</v>
      </c>
      <c r="E204">
        <v>199</v>
      </c>
      <c r="F204">
        <v>3325</v>
      </c>
      <c r="G204" t="s">
        <v>10</v>
      </c>
    </row>
    <row r="205" spans="1:7">
      <c r="A205" t="s">
        <v>14</v>
      </c>
      <c r="B205" t="s">
        <v>13</v>
      </c>
      <c r="C205">
        <v>51.4</v>
      </c>
      <c r="D205">
        <v>19</v>
      </c>
      <c r="E205">
        <v>201</v>
      </c>
      <c r="F205">
        <v>3950</v>
      </c>
      <c r="G205" t="s">
        <v>9</v>
      </c>
    </row>
    <row r="206" spans="1:7">
      <c r="A206" t="s">
        <v>14</v>
      </c>
      <c r="B206" t="s">
        <v>13</v>
      </c>
      <c r="C206">
        <v>45.7</v>
      </c>
      <c r="D206">
        <v>17.3</v>
      </c>
      <c r="E206">
        <v>193</v>
      </c>
      <c r="F206">
        <v>3600</v>
      </c>
      <c r="G206" t="s">
        <v>10</v>
      </c>
    </row>
    <row r="207" spans="1:7">
      <c r="A207" t="s">
        <v>14</v>
      </c>
      <c r="B207" t="s">
        <v>13</v>
      </c>
      <c r="C207">
        <v>50.7</v>
      </c>
      <c r="D207">
        <v>19.7</v>
      </c>
      <c r="E207">
        <v>203</v>
      </c>
      <c r="F207">
        <v>4050</v>
      </c>
      <c r="G207" t="s">
        <v>9</v>
      </c>
    </row>
    <row r="208" spans="1:7">
      <c r="A208" t="s">
        <v>14</v>
      </c>
      <c r="B208" t="s">
        <v>13</v>
      </c>
      <c r="C208">
        <v>42.5</v>
      </c>
      <c r="D208">
        <v>17.3</v>
      </c>
      <c r="E208">
        <v>187</v>
      </c>
      <c r="F208">
        <v>3350</v>
      </c>
      <c r="G208" t="s">
        <v>10</v>
      </c>
    </row>
    <row r="209" spans="1:7">
      <c r="A209" t="s">
        <v>14</v>
      </c>
      <c r="B209" t="s">
        <v>13</v>
      </c>
      <c r="C209">
        <v>52.2</v>
      </c>
      <c r="D209">
        <v>18.8</v>
      </c>
      <c r="E209">
        <v>197</v>
      </c>
      <c r="F209">
        <v>3450</v>
      </c>
      <c r="G209" t="s">
        <v>9</v>
      </c>
    </row>
    <row r="210" spans="1:7">
      <c r="A210" t="s">
        <v>14</v>
      </c>
      <c r="B210" t="s">
        <v>13</v>
      </c>
      <c r="C210">
        <v>45.2</v>
      </c>
      <c r="D210">
        <v>16.6</v>
      </c>
      <c r="E210">
        <v>191</v>
      </c>
      <c r="F210">
        <v>3250</v>
      </c>
      <c r="G210" t="s">
        <v>10</v>
      </c>
    </row>
    <row r="211" spans="1:7">
      <c r="A211" t="s">
        <v>14</v>
      </c>
      <c r="B211" t="s">
        <v>13</v>
      </c>
      <c r="C211">
        <v>49.3</v>
      </c>
      <c r="D211">
        <v>19.9</v>
      </c>
      <c r="E211">
        <v>203</v>
      </c>
      <c r="F211">
        <v>4050</v>
      </c>
      <c r="G211" t="s">
        <v>9</v>
      </c>
    </row>
    <row r="212" spans="1:7">
      <c r="A212" t="s">
        <v>14</v>
      </c>
      <c r="B212" t="s">
        <v>13</v>
      </c>
      <c r="C212">
        <v>50.2</v>
      </c>
      <c r="D212">
        <v>18.8</v>
      </c>
      <c r="E212">
        <v>202</v>
      </c>
      <c r="F212">
        <v>3800</v>
      </c>
      <c r="G212" t="s">
        <v>9</v>
      </c>
    </row>
    <row r="213" spans="1:7">
      <c r="A213" t="s">
        <v>14</v>
      </c>
      <c r="B213" t="s">
        <v>13</v>
      </c>
      <c r="C213">
        <v>45.6</v>
      </c>
      <c r="D213">
        <v>19.4</v>
      </c>
      <c r="E213">
        <v>194</v>
      </c>
      <c r="F213">
        <v>3525</v>
      </c>
      <c r="G213" t="s">
        <v>10</v>
      </c>
    </row>
    <row r="214" spans="1:7">
      <c r="A214" t="s">
        <v>14</v>
      </c>
      <c r="B214" t="s">
        <v>13</v>
      </c>
      <c r="C214">
        <v>51.9</v>
      </c>
      <c r="D214">
        <v>19.5</v>
      </c>
      <c r="E214">
        <v>206</v>
      </c>
      <c r="F214">
        <v>3950</v>
      </c>
      <c r="G214" t="s">
        <v>9</v>
      </c>
    </row>
    <row r="215" spans="1:7">
      <c r="A215" t="s">
        <v>14</v>
      </c>
      <c r="B215" t="s">
        <v>13</v>
      </c>
      <c r="C215">
        <v>46.8</v>
      </c>
      <c r="D215">
        <v>16.5</v>
      </c>
      <c r="E215">
        <v>189</v>
      </c>
      <c r="F215">
        <v>3650</v>
      </c>
      <c r="G215" t="s">
        <v>10</v>
      </c>
    </row>
    <row r="216" spans="1:7">
      <c r="A216" t="s">
        <v>14</v>
      </c>
      <c r="B216" t="s">
        <v>13</v>
      </c>
      <c r="C216">
        <v>45.7</v>
      </c>
      <c r="D216">
        <v>17</v>
      </c>
      <c r="E216">
        <v>195</v>
      </c>
      <c r="F216">
        <v>3650</v>
      </c>
      <c r="G216" t="s">
        <v>10</v>
      </c>
    </row>
    <row r="217" spans="1:7">
      <c r="A217" t="s">
        <v>14</v>
      </c>
      <c r="B217" t="s">
        <v>13</v>
      </c>
      <c r="C217">
        <v>55.8</v>
      </c>
      <c r="D217">
        <v>19.8</v>
      </c>
      <c r="E217">
        <v>207</v>
      </c>
      <c r="F217">
        <v>4000</v>
      </c>
      <c r="G217" t="s">
        <v>9</v>
      </c>
    </row>
    <row r="218" spans="1:7">
      <c r="A218" t="s">
        <v>14</v>
      </c>
      <c r="B218" t="s">
        <v>13</v>
      </c>
      <c r="C218">
        <v>43.5</v>
      </c>
      <c r="D218">
        <v>18.1</v>
      </c>
      <c r="E218">
        <v>202</v>
      </c>
      <c r="F218">
        <v>3400</v>
      </c>
      <c r="G218" t="s">
        <v>10</v>
      </c>
    </row>
    <row r="219" spans="1:7">
      <c r="A219" t="s">
        <v>14</v>
      </c>
      <c r="B219" t="s">
        <v>13</v>
      </c>
      <c r="C219">
        <v>49.6</v>
      </c>
      <c r="D219">
        <v>18.2</v>
      </c>
      <c r="E219">
        <v>193</v>
      </c>
      <c r="F219">
        <v>3775</v>
      </c>
      <c r="G219" t="s">
        <v>9</v>
      </c>
    </row>
    <row r="220" spans="1:7">
      <c r="A220" t="s">
        <v>14</v>
      </c>
      <c r="B220" t="s">
        <v>13</v>
      </c>
      <c r="C220">
        <v>50.8</v>
      </c>
      <c r="D220">
        <v>19</v>
      </c>
      <c r="E220">
        <v>210</v>
      </c>
      <c r="F220">
        <v>4100</v>
      </c>
      <c r="G220" t="s">
        <v>9</v>
      </c>
    </row>
    <row r="221" spans="1:7">
      <c r="A221" t="s">
        <v>14</v>
      </c>
      <c r="B221" t="s">
        <v>13</v>
      </c>
      <c r="C221">
        <v>50.2</v>
      </c>
      <c r="D221">
        <v>18.7</v>
      </c>
      <c r="E221">
        <v>198</v>
      </c>
      <c r="F221">
        <v>3775</v>
      </c>
      <c r="G221" t="s">
        <v>10</v>
      </c>
    </row>
    <row r="222" spans="1:7">
      <c r="A222" t="s">
        <v>15</v>
      </c>
      <c r="B222" t="s">
        <v>12</v>
      </c>
      <c r="C222">
        <v>46.1</v>
      </c>
      <c r="D222">
        <v>13.2</v>
      </c>
      <c r="E222">
        <v>211</v>
      </c>
      <c r="F222">
        <v>4500</v>
      </c>
      <c r="G222" t="s">
        <v>10</v>
      </c>
    </row>
    <row r="223" spans="1:7">
      <c r="A223" t="s">
        <v>15</v>
      </c>
      <c r="B223" t="s">
        <v>12</v>
      </c>
      <c r="C223">
        <v>50</v>
      </c>
      <c r="D223">
        <v>16.3</v>
      </c>
      <c r="E223">
        <v>230</v>
      </c>
      <c r="F223">
        <v>5700</v>
      </c>
      <c r="G223" t="s">
        <v>9</v>
      </c>
    </row>
    <row r="224" spans="1:7">
      <c r="A224" t="s">
        <v>15</v>
      </c>
      <c r="B224" t="s">
        <v>12</v>
      </c>
      <c r="C224">
        <v>48.7</v>
      </c>
      <c r="D224">
        <v>14.1</v>
      </c>
      <c r="E224">
        <v>210</v>
      </c>
      <c r="F224">
        <v>4450</v>
      </c>
      <c r="G224" t="s">
        <v>10</v>
      </c>
    </row>
    <row r="225" spans="1:7">
      <c r="A225" t="s">
        <v>15</v>
      </c>
      <c r="B225" t="s">
        <v>12</v>
      </c>
      <c r="C225">
        <v>50</v>
      </c>
      <c r="D225">
        <v>15.2</v>
      </c>
      <c r="E225">
        <v>218</v>
      </c>
      <c r="F225">
        <v>5700</v>
      </c>
      <c r="G225" t="s">
        <v>9</v>
      </c>
    </row>
    <row r="226" spans="1:7">
      <c r="A226" t="s">
        <v>15</v>
      </c>
      <c r="B226" t="s">
        <v>12</v>
      </c>
      <c r="C226">
        <v>47.6</v>
      </c>
      <c r="D226">
        <v>14.5</v>
      </c>
      <c r="E226">
        <v>215</v>
      </c>
      <c r="F226">
        <v>5400</v>
      </c>
      <c r="G226" t="s">
        <v>9</v>
      </c>
    </row>
    <row r="227" spans="1:7">
      <c r="A227" t="s">
        <v>15</v>
      </c>
      <c r="B227" t="s">
        <v>12</v>
      </c>
      <c r="C227">
        <v>46.5</v>
      </c>
      <c r="D227">
        <v>13.5</v>
      </c>
      <c r="E227">
        <v>210</v>
      </c>
      <c r="F227">
        <v>4550</v>
      </c>
      <c r="G227" t="s">
        <v>10</v>
      </c>
    </row>
    <row r="228" spans="1:7">
      <c r="A228" t="s">
        <v>15</v>
      </c>
      <c r="B228" t="s">
        <v>12</v>
      </c>
      <c r="C228">
        <v>45.4</v>
      </c>
      <c r="D228">
        <v>14.6</v>
      </c>
      <c r="E228">
        <v>211</v>
      </c>
      <c r="F228">
        <v>4800</v>
      </c>
      <c r="G228" t="s">
        <v>10</v>
      </c>
    </row>
    <row r="229" spans="1:7">
      <c r="A229" t="s">
        <v>15</v>
      </c>
      <c r="B229" t="s">
        <v>12</v>
      </c>
      <c r="C229">
        <v>46.7</v>
      </c>
      <c r="D229">
        <v>15.3</v>
      </c>
      <c r="E229">
        <v>219</v>
      </c>
      <c r="F229">
        <v>5200</v>
      </c>
      <c r="G229" t="s">
        <v>9</v>
      </c>
    </row>
    <row r="230" spans="1:7">
      <c r="A230" t="s">
        <v>15</v>
      </c>
      <c r="B230" t="s">
        <v>12</v>
      </c>
      <c r="C230">
        <v>43.3</v>
      </c>
      <c r="D230">
        <v>13.4</v>
      </c>
      <c r="E230">
        <v>209</v>
      </c>
      <c r="F230">
        <v>4400</v>
      </c>
      <c r="G230" t="s">
        <v>10</v>
      </c>
    </row>
    <row r="231" spans="1:7">
      <c r="A231" t="s">
        <v>15</v>
      </c>
      <c r="B231" t="s">
        <v>12</v>
      </c>
      <c r="C231">
        <v>46.8</v>
      </c>
      <c r="D231">
        <v>15.4</v>
      </c>
      <c r="E231">
        <v>215</v>
      </c>
      <c r="F231">
        <v>5150</v>
      </c>
      <c r="G231" t="s">
        <v>9</v>
      </c>
    </row>
    <row r="232" spans="1:7">
      <c r="A232" t="s">
        <v>15</v>
      </c>
      <c r="B232" t="s">
        <v>12</v>
      </c>
      <c r="C232">
        <v>40.9</v>
      </c>
      <c r="D232">
        <v>13.7</v>
      </c>
      <c r="E232">
        <v>214</v>
      </c>
      <c r="F232">
        <v>4650</v>
      </c>
      <c r="G232" t="s">
        <v>10</v>
      </c>
    </row>
    <row r="233" spans="1:7">
      <c r="A233" t="s">
        <v>15</v>
      </c>
      <c r="B233" t="s">
        <v>12</v>
      </c>
      <c r="C233">
        <v>49</v>
      </c>
      <c r="D233">
        <v>16.1</v>
      </c>
      <c r="E233">
        <v>216</v>
      </c>
      <c r="F233">
        <v>5550</v>
      </c>
      <c r="G233" t="s">
        <v>9</v>
      </c>
    </row>
    <row r="234" spans="1:7">
      <c r="A234" t="s">
        <v>15</v>
      </c>
      <c r="B234" t="s">
        <v>12</v>
      </c>
      <c r="C234">
        <v>45.5</v>
      </c>
      <c r="D234">
        <v>13.7</v>
      </c>
      <c r="E234">
        <v>214</v>
      </c>
      <c r="F234">
        <v>4650</v>
      </c>
      <c r="G234" t="s">
        <v>10</v>
      </c>
    </row>
    <row r="235" spans="1:7">
      <c r="A235" t="s">
        <v>15</v>
      </c>
      <c r="B235" t="s">
        <v>12</v>
      </c>
      <c r="C235">
        <v>48.4</v>
      </c>
      <c r="D235">
        <v>14.6</v>
      </c>
      <c r="E235">
        <v>213</v>
      </c>
      <c r="F235">
        <v>5850</v>
      </c>
      <c r="G235" t="s">
        <v>9</v>
      </c>
    </row>
    <row r="236" spans="1:7">
      <c r="A236" t="s">
        <v>15</v>
      </c>
      <c r="B236" t="s">
        <v>12</v>
      </c>
      <c r="C236">
        <v>45.8</v>
      </c>
      <c r="D236">
        <v>14.6</v>
      </c>
      <c r="E236">
        <v>210</v>
      </c>
      <c r="F236">
        <v>4200</v>
      </c>
      <c r="G236" t="s">
        <v>10</v>
      </c>
    </row>
    <row r="237" spans="1:7">
      <c r="A237" t="s">
        <v>15</v>
      </c>
      <c r="B237" t="s">
        <v>12</v>
      </c>
      <c r="C237">
        <v>49.3</v>
      </c>
      <c r="D237">
        <v>15.7</v>
      </c>
      <c r="E237">
        <v>217</v>
      </c>
      <c r="F237">
        <v>5850</v>
      </c>
      <c r="G237" t="s">
        <v>9</v>
      </c>
    </row>
    <row r="238" spans="1:7">
      <c r="A238" t="s">
        <v>15</v>
      </c>
      <c r="B238" t="s">
        <v>12</v>
      </c>
      <c r="C238">
        <v>42</v>
      </c>
      <c r="D238">
        <v>13.5</v>
      </c>
      <c r="E238">
        <v>210</v>
      </c>
      <c r="F238">
        <v>4150</v>
      </c>
      <c r="G238" t="s">
        <v>10</v>
      </c>
    </row>
    <row r="239" spans="1:7">
      <c r="A239" t="s">
        <v>15</v>
      </c>
      <c r="B239" t="s">
        <v>12</v>
      </c>
      <c r="C239">
        <v>49.2</v>
      </c>
      <c r="D239">
        <v>15.2</v>
      </c>
      <c r="E239">
        <v>221</v>
      </c>
      <c r="F239">
        <v>6300</v>
      </c>
      <c r="G239" t="s">
        <v>9</v>
      </c>
    </row>
    <row r="240" spans="1:7">
      <c r="A240" t="s">
        <v>15</v>
      </c>
      <c r="B240" t="s">
        <v>12</v>
      </c>
      <c r="C240">
        <v>46.2</v>
      </c>
      <c r="D240">
        <v>14.5</v>
      </c>
      <c r="E240">
        <v>209</v>
      </c>
      <c r="F240">
        <v>4800</v>
      </c>
      <c r="G240" t="s">
        <v>10</v>
      </c>
    </row>
    <row r="241" spans="1:7">
      <c r="A241" t="s">
        <v>15</v>
      </c>
      <c r="B241" t="s">
        <v>12</v>
      </c>
      <c r="C241">
        <v>48.7</v>
      </c>
      <c r="D241">
        <v>15.1</v>
      </c>
      <c r="E241">
        <v>222</v>
      </c>
      <c r="F241">
        <v>5350</v>
      </c>
      <c r="G241" t="s">
        <v>9</v>
      </c>
    </row>
    <row r="242" spans="1:7">
      <c r="A242" t="s">
        <v>15</v>
      </c>
      <c r="B242" t="s">
        <v>12</v>
      </c>
      <c r="C242">
        <v>50.2</v>
      </c>
      <c r="D242">
        <v>14.3</v>
      </c>
      <c r="E242">
        <v>218</v>
      </c>
      <c r="F242">
        <v>5700</v>
      </c>
      <c r="G242" t="s">
        <v>9</v>
      </c>
    </row>
    <row r="243" spans="1:7">
      <c r="A243" t="s">
        <v>15</v>
      </c>
      <c r="B243" t="s">
        <v>12</v>
      </c>
      <c r="C243">
        <v>45.1</v>
      </c>
      <c r="D243">
        <v>14.5</v>
      </c>
      <c r="E243">
        <v>215</v>
      </c>
      <c r="F243">
        <v>5000</v>
      </c>
      <c r="G243" t="s">
        <v>10</v>
      </c>
    </row>
    <row r="244" spans="1:7">
      <c r="A244" t="s">
        <v>15</v>
      </c>
      <c r="B244" t="s">
        <v>12</v>
      </c>
      <c r="C244">
        <v>46.5</v>
      </c>
      <c r="D244">
        <v>14.5</v>
      </c>
      <c r="E244">
        <v>213</v>
      </c>
      <c r="F244">
        <v>4400</v>
      </c>
      <c r="G244" t="s">
        <v>10</v>
      </c>
    </row>
    <row r="245" spans="1:7">
      <c r="A245" t="s">
        <v>15</v>
      </c>
      <c r="B245" t="s">
        <v>12</v>
      </c>
      <c r="C245">
        <v>46.3</v>
      </c>
      <c r="D245">
        <v>15.8</v>
      </c>
      <c r="E245">
        <v>215</v>
      </c>
      <c r="F245">
        <v>5050</v>
      </c>
      <c r="G245" t="s">
        <v>9</v>
      </c>
    </row>
    <row r="246" spans="1:7">
      <c r="A246" t="s">
        <v>15</v>
      </c>
      <c r="B246" t="s">
        <v>12</v>
      </c>
      <c r="C246">
        <v>42.9</v>
      </c>
      <c r="D246">
        <v>13.1</v>
      </c>
      <c r="E246">
        <v>215</v>
      </c>
      <c r="F246">
        <v>5000</v>
      </c>
      <c r="G246" t="s">
        <v>10</v>
      </c>
    </row>
    <row r="247" spans="1:7">
      <c r="A247" t="s">
        <v>15</v>
      </c>
      <c r="B247" t="s">
        <v>12</v>
      </c>
      <c r="C247">
        <v>46.1</v>
      </c>
      <c r="D247">
        <v>15.1</v>
      </c>
      <c r="E247">
        <v>215</v>
      </c>
      <c r="F247">
        <v>5100</v>
      </c>
      <c r="G247" t="s">
        <v>9</v>
      </c>
    </row>
    <row r="248" spans="1:7">
      <c r="A248" t="s">
        <v>15</v>
      </c>
      <c r="B248" t="s">
        <v>12</v>
      </c>
      <c r="C248">
        <v>44.5</v>
      </c>
      <c r="D248">
        <v>14.3</v>
      </c>
      <c r="E248">
        <v>216</v>
      </c>
      <c r="F248">
        <v>4100</v>
      </c>
      <c r="G248" t="s">
        <v>11</v>
      </c>
    </row>
    <row r="249" spans="1:7">
      <c r="A249" t="s">
        <v>15</v>
      </c>
      <c r="B249" t="s">
        <v>12</v>
      </c>
      <c r="C249">
        <v>47.8</v>
      </c>
      <c r="D249">
        <v>15</v>
      </c>
      <c r="E249">
        <v>215</v>
      </c>
      <c r="F249">
        <v>5650</v>
      </c>
      <c r="G249" t="s">
        <v>9</v>
      </c>
    </row>
    <row r="250" spans="1:7">
      <c r="A250" t="s">
        <v>15</v>
      </c>
      <c r="B250" t="s">
        <v>12</v>
      </c>
      <c r="C250">
        <v>48.2</v>
      </c>
      <c r="D250">
        <v>14.3</v>
      </c>
      <c r="E250">
        <v>210</v>
      </c>
      <c r="F250">
        <v>4600</v>
      </c>
      <c r="G250" t="s">
        <v>10</v>
      </c>
    </row>
    <row r="251" spans="1:7">
      <c r="A251" t="s">
        <v>15</v>
      </c>
      <c r="B251" t="s">
        <v>12</v>
      </c>
      <c r="C251">
        <v>50</v>
      </c>
      <c r="D251">
        <v>15.3</v>
      </c>
      <c r="E251">
        <v>220</v>
      </c>
      <c r="F251">
        <v>5550</v>
      </c>
      <c r="G251" t="s">
        <v>9</v>
      </c>
    </row>
    <row r="252" spans="1:7">
      <c r="A252" t="s">
        <v>15</v>
      </c>
      <c r="B252" t="s">
        <v>12</v>
      </c>
      <c r="C252">
        <v>47.3</v>
      </c>
      <c r="D252">
        <v>15.3</v>
      </c>
      <c r="E252">
        <v>222</v>
      </c>
      <c r="F252">
        <v>5250</v>
      </c>
      <c r="G252" t="s">
        <v>9</v>
      </c>
    </row>
    <row r="253" spans="1:7">
      <c r="A253" t="s">
        <v>15</v>
      </c>
      <c r="B253" t="s">
        <v>12</v>
      </c>
      <c r="C253">
        <v>42.8</v>
      </c>
      <c r="D253">
        <v>14.2</v>
      </c>
      <c r="E253">
        <v>209</v>
      </c>
      <c r="F253">
        <v>4700</v>
      </c>
      <c r="G253" t="s">
        <v>10</v>
      </c>
    </row>
    <row r="254" spans="1:7">
      <c r="A254" t="s">
        <v>15</v>
      </c>
      <c r="B254" t="s">
        <v>12</v>
      </c>
      <c r="C254">
        <v>45.1</v>
      </c>
      <c r="D254">
        <v>14.5</v>
      </c>
      <c r="E254">
        <v>207</v>
      </c>
      <c r="F254">
        <v>5050</v>
      </c>
      <c r="G254" t="s">
        <v>10</v>
      </c>
    </row>
    <row r="255" spans="1:7">
      <c r="A255" t="s">
        <v>15</v>
      </c>
      <c r="B255" t="s">
        <v>12</v>
      </c>
      <c r="C255">
        <v>59.6</v>
      </c>
      <c r="D255">
        <v>17</v>
      </c>
      <c r="E255">
        <v>230</v>
      </c>
      <c r="F255">
        <v>6050</v>
      </c>
      <c r="G255" t="s">
        <v>9</v>
      </c>
    </row>
    <row r="256" spans="1:7">
      <c r="A256" t="s">
        <v>15</v>
      </c>
      <c r="B256" t="s">
        <v>12</v>
      </c>
      <c r="C256">
        <v>49.1</v>
      </c>
      <c r="D256">
        <v>14.8</v>
      </c>
      <c r="E256">
        <v>220</v>
      </c>
      <c r="F256">
        <v>5150</v>
      </c>
      <c r="G256" t="s">
        <v>10</v>
      </c>
    </row>
    <row r="257" spans="1:7">
      <c r="A257" t="s">
        <v>15</v>
      </c>
      <c r="B257" t="s">
        <v>12</v>
      </c>
      <c r="C257">
        <v>48.4</v>
      </c>
      <c r="D257">
        <v>16.3</v>
      </c>
      <c r="E257">
        <v>220</v>
      </c>
      <c r="F257">
        <v>5400</v>
      </c>
      <c r="G257" t="s">
        <v>9</v>
      </c>
    </row>
    <row r="258" spans="1:7">
      <c r="A258" t="s">
        <v>15</v>
      </c>
      <c r="B258" t="s">
        <v>12</v>
      </c>
      <c r="C258">
        <v>42.6</v>
      </c>
      <c r="D258">
        <v>13.7</v>
      </c>
      <c r="E258">
        <v>213</v>
      </c>
      <c r="F258">
        <v>4950</v>
      </c>
      <c r="G258" t="s">
        <v>10</v>
      </c>
    </row>
    <row r="259" spans="1:7">
      <c r="A259" t="s">
        <v>15</v>
      </c>
      <c r="B259" t="s">
        <v>12</v>
      </c>
      <c r="C259">
        <v>44.4</v>
      </c>
      <c r="D259">
        <v>17.3</v>
      </c>
      <c r="E259">
        <v>219</v>
      </c>
      <c r="F259">
        <v>5250</v>
      </c>
      <c r="G259" t="s">
        <v>9</v>
      </c>
    </row>
    <row r="260" spans="1:7">
      <c r="A260" t="s">
        <v>15</v>
      </c>
      <c r="B260" t="s">
        <v>12</v>
      </c>
      <c r="C260">
        <v>44</v>
      </c>
      <c r="D260">
        <v>13.6</v>
      </c>
      <c r="E260">
        <v>208</v>
      </c>
      <c r="F260">
        <v>4350</v>
      </c>
      <c r="G260" t="s">
        <v>10</v>
      </c>
    </row>
    <row r="261" spans="1:7">
      <c r="A261" t="s">
        <v>15</v>
      </c>
      <c r="B261" t="s">
        <v>12</v>
      </c>
      <c r="C261">
        <v>48.7</v>
      </c>
      <c r="D261">
        <v>15.7</v>
      </c>
      <c r="E261">
        <v>208</v>
      </c>
      <c r="F261">
        <v>5350</v>
      </c>
      <c r="G261" t="s">
        <v>9</v>
      </c>
    </row>
    <row r="262" spans="1:7">
      <c r="A262" t="s">
        <v>15</v>
      </c>
      <c r="B262" t="s">
        <v>12</v>
      </c>
      <c r="C262">
        <v>42.7</v>
      </c>
      <c r="D262">
        <v>13.7</v>
      </c>
      <c r="E262">
        <v>208</v>
      </c>
      <c r="F262">
        <v>3950</v>
      </c>
      <c r="G262" t="s">
        <v>10</v>
      </c>
    </row>
    <row r="263" spans="1:7">
      <c r="A263" t="s">
        <v>15</v>
      </c>
      <c r="B263" t="s">
        <v>12</v>
      </c>
      <c r="C263">
        <v>49.6</v>
      </c>
      <c r="D263">
        <v>16</v>
      </c>
      <c r="E263">
        <v>225</v>
      </c>
      <c r="F263">
        <v>5700</v>
      </c>
      <c r="G263" t="s">
        <v>9</v>
      </c>
    </row>
    <row r="264" spans="1:7">
      <c r="A264" t="s">
        <v>15</v>
      </c>
      <c r="B264" t="s">
        <v>12</v>
      </c>
      <c r="C264">
        <v>45.3</v>
      </c>
      <c r="D264">
        <v>13.7</v>
      </c>
      <c r="E264">
        <v>210</v>
      </c>
      <c r="F264">
        <v>4300</v>
      </c>
      <c r="G264" t="s">
        <v>10</v>
      </c>
    </row>
    <row r="265" spans="1:7">
      <c r="A265" t="s">
        <v>15</v>
      </c>
      <c r="B265" t="s">
        <v>12</v>
      </c>
      <c r="C265">
        <v>49.6</v>
      </c>
      <c r="D265">
        <v>15</v>
      </c>
      <c r="E265">
        <v>216</v>
      </c>
      <c r="F265">
        <v>4750</v>
      </c>
      <c r="G265" t="s">
        <v>9</v>
      </c>
    </row>
    <row r="266" spans="1:7">
      <c r="A266" t="s">
        <v>15</v>
      </c>
      <c r="B266" t="s">
        <v>12</v>
      </c>
      <c r="C266">
        <v>50.5</v>
      </c>
      <c r="D266">
        <v>15.9</v>
      </c>
      <c r="E266">
        <v>222</v>
      </c>
      <c r="F266">
        <v>5550</v>
      </c>
      <c r="G266" t="s">
        <v>9</v>
      </c>
    </row>
    <row r="267" spans="1:7">
      <c r="A267" t="s">
        <v>15</v>
      </c>
      <c r="B267" t="s">
        <v>12</v>
      </c>
      <c r="C267">
        <v>43.6</v>
      </c>
      <c r="D267">
        <v>13.9</v>
      </c>
      <c r="E267">
        <v>217</v>
      </c>
      <c r="F267">
        <v>4900</v>
      </c>
      <c r="G267" t="s">
        <v>10</v>
      </c>
    </row>
    <row r="268" spans="1:7">
      <c r="A268" t="s">
        <v>15</v>
      </c>
      <c r="B268" t="s">
        <v>12</v>
      </c>
      <c r="C268">
        <v>45.5</v>
      </c>
      <c r="D268">
        <v>13.9</v>
      </c>
      <c r="E268">
        <v>210</v>
      </c>
      <c r="F268">
        <v>4200</v>
      </c>
      <c r="G268" t="s">
        <v>10</v>
      </c>
    </row>
    <row r="269" spans="1:7">
      <c r="A269" t="s">
        <v>15</v>
      </c>
      <c r="B269" t="s">
        <v>12</v>
      </c>
      <c r="C269">
        <v>50.5</v>
      </c>
      <c r="D269">
        <v>15.9</v>
      </c>
      <c r="E269">
        <v>225</v>
      </c>
      <c r="F269">
        <v>5400</v>
      </c>
      <c r="G269" t="s">
        <v>9</v>
      </c>
    </row>
    <row r="270" spans="1:7">
      <c r="A270" t="s">
        <v>15</v>
      </c>
      <c r="B270" t="s">
        <v>12</v>
      </c>
      <c r="C270">
        <v>44.9</v>
      </c>
      <c r="D270">
        <v>13.3</v>
      </c>
      <c r="E270">
        <v>213</v>
      </c>
      <c r="F270">
        <v>5100</v>
      </c>
      <c r="G270" t="s">
        <v>10</v>
      </c>
    </row>
    <row r="271" spans="1:7">
      <c r="A271" t="s">
        <v>15</v>
      </c>
      <c r="B271" t="s">
        <v>12</v>
      </c>
      <c r="C271">
        <v>45.2</v>
      </c>
      <c r="D271">
        <v>15.8</v>
      </c>
      <c r="E271">
        <v>215</v>
      </c>
      <c r="F271">
        <v>5300</v>
      </c>
      <c r="G271" t="s">
        <v>9</v>
      </c>
    </row>
    <row r="272" spans="1:7">
      <c r="A272" t="s">
        <v>15</v>
      </c>
      <c r="B272" t="s">
        <v>12</v>
      </c>
      <c r="C272">
        <v>46.6</v>
      </c>
      <c r="D272">
        <v>14.2</v>
      </c>
      <c r="E272">
        <v>210</v>
      </c>
      <c r="F272">
        <v>4850</v>
      </c>
      <c r="G272" t="s">
        <v>10</v>
      </c>
    </row>
    <row r="273" spans="1:7">
      <c r="A273" t="s">
        <v>15</v>
      </c>
      <c r="B273" t="s">
        <v>12</v>
      </c>
      <c r="C273">
        <v>48.5</v>
      </c>
      <c r="D273">
        <v>14.1</v>
      </c>
      <c r="E273">
        <v>220</v>
      </c>
      <c r="F273">
        <v>5300</v>
      </c>
      <c r="G273" t="s">
        <v>9</v>
      </c>
    </row>
    <row r="274" spans="1:7">
      <c r="A274" t="s">
        <v>15</v>
      </c>
      <c r="B274" t="s">
        <v>12</v>
      </c>
      <c r="C274">
        <v>45.1</v>
      </c>
      <c r="D274">
        <v>14.4</v>
      </c>
      <c r="E274">
        <v>210</v>
      </c>
      <c r="F274">
        <v>4400</v>
      </c>
      <c r="G274" t="s">
        <v>10</v>
      </c>
    </row>
    <row r="275" spans="1:7">
      <c r="A275" t="s">
        <v>15</v>
      </c>
      <c r="B275" t="s">
        <v>12</v>
      </c>
      <c r="C275">
        <v>50.1</v>
      </c>
      <c r="D275">
        <v>15</v>
      </c>
      <c r="E275">
        <v>225</v>
      </c>
      <c r="F275">
        <v>5000</v>
      </c>
      <c r="G275" t="s">
        <v>9</v>
      </c>
    </row>
    <row r="276" spans="1:7">
      <c r="A276" t="s">
        <v>15</v>
      </c>
      <c r="B276" t="s">
        <v>12</v>
      </c>
      <c r="C276">
        <v>46.5</v>
      </c>
      <c r="D276">
        <v>14.4</v>
      </c>
      <c r="E276">
        <v>217</v>
      </c>
      <c r="F276">
        <v>4900</v>
      </c>
      <c r="G276" t="s">
        <v>10</v>
      </c>
    </row>
    <row r="277" spans="1:7">
      <c r="A277" t="s">
        <v>15</v>
      </c>
      <c r="B277" t="s">
        <v>12</v>
      </c>
      <c r="C277">
        <v>45</v>
      </c>
      <c r="D277">
        <v>15.4</v>
      </c>
      <c r="E277">
        <v>220</v>
      </c>
      <c r="F277">
        <v>5050</v>
      </c>
      <c r="G277" t="s">
        <v>9</v>
      </c>
    </row>
    <row r="278" spans="1:7">
      <c r="A278" t="s">
        <v>15</v>
      </c>
      <c r="B278" t="s">
        <v>12</v>
      </c>
      <c r="C278">
        <v>43.8</v>
      </c>
      <c r="D278">
        <v>13.9</v>
      </c>
      <c r="E278">
        <v>208</v>
      </c>
      <c r="F278">
        <v>4300</v>
      </c>
      <c r="G278" t="s">
        <v>10</v>
      </c>
    </row>
    <row r="279" spans="1:7">
      <c r="A279" t="s">
        <v>15</v>
      </c>
      <c r="B279" t="s">
        <v>12</v>
      </c>
      <c r="C279">
        <v>45.5</v>
      </c>
      <c r="D279">
        <v>15</v>
      </c>
      <c r="E279">
        <v>220</v>
      </c>
      <c r="F279">
        <v>5000</v>
      </c>
      <c r="G279" t="s">
        <v>9</v>
      </c>
    </row>
    <row r="280" spans="1:7">
      <c r="A280" t="s">
        <v>15</v>
      </c>
      <c r="B280" t="s">
        <v>12</v>
      </c>
      <c r="C280">
        <v>43.2</v>
      </c>
      <c r="D280">
        <v>14.5</v>
      </c>
      <c r="E280">
        <v>208</v>
      </c>
      <c r="F280">
        <v>4450</v>
      </c>
      <c r="G280" t="s">
        <v>10</v>
      </c>
    </row>
    <row r="281" spans="1:7">
      <c r="A281" t="s">
        <v>15</v>
      </c>
      <c r="B281" t="s">
        <v>12</v>
      </c>
      <c r="C281">
        <v>50.4</v>
      </c>
      <c r="D281">
        <v>15.3</v>
      </c>
      <c r="E281">
        <v>224</v>
      </c>
      <c r="F281">
        <v>5550</v>
      </c>
      <c r="G281" t="s">
        <v>9</v>
      </c>
    </row>
    <row r="282" spans="1:7">
      <c r="A282" t="s">
        <v>15</v>
      </c>
      <c r="B282" t="s">
        <v>12</v>
      </c>
      <c r="C282">
        <v>45.3</v>
      </c>
      <c r="D282">
        <v>13.8</v>
      </c>
      <c r="E282">
        <v>208</v>
      </c>
      <c r="F282">
        <v>4200</v>
      </c>
      <c r="G282" t="s">
        <v>10</v>
      </c>
    </row>
    <row r="283" spans="1:7">
      <c r="A283" t="s">
        <v>15</v>
      </c>
      <c r="B283" t="s">
        <v>12</v>
      </c>
      <c r="C283">
        <v>46.2</v>
      </c>
      <c r="D283">
        <v>14.9</v>
      </c>
      <c r="E283">
        <v>221</v>
      </c>
      <c r="F283">
        <v>5300</v>
      </c>
      <c r="G283" t="s">
        <v>9</v>
      </c>
    </row>
    <row r="284" spans="1:7">
      <c r="A284" t="s">
        <v>15</v>
      </c>
      <c r="B284" t="s">
        <v>12</v>
      </c>
      <c r="C284">
        <v>45.7</v>
      </c>
      <c r="D284">
        <v>13.9</v>
      </c>
      <c r="E284">
        <v>214</v>
      </c>
      <c r="F284">
        <v>4400</v>
      </c>
      <c r="G284" t="s">
        <v>10</v>
      </c>
    </row>
    <row r="285" spans="1:7">
      <c r="A285" t="s">
        <v>15</v>
      </c>
      <c r="B285" t="s">
        <v>12</v>
      </c>
      <c r="C285">
        <v>54.3</v>
      </c>
      <c r="D285">
        <v>15.7</v>
      </c>
      <c r="E285">
        <v>231</v>
      </c>
      <c r="F285">
        <v>5650</v>
      </c>
      <c r="G285" t="s">
        <v>9</v>
      </c>
    </row>
    <row r="286" spans="1:7">
      <c r="A286" t="s">
        <v>15</v>
      </c>
      <c r="B286" t="s">
        <v>12</v>
      </c>
      <c r="C286">
        <v>45.8</v>
      </c>
      <c r="D286">
        <v>14.2</v>
      </c>
      <c r="E286">
        <v>219</v>
      </c>
      <c r="F286">
        <v>4700</v>
      </c>
      <c r="G286" t="s">
        <v>10</v>
      </c>
    </row>
    <row r="287" spans="1:7">
      <c r="A287" t="s">
        <v>15</v>
      </c>
      <c r="B287" t="s">
        <v>12</v>
      </c>
      <c r="C287">
        <v>49.8</v>
      </c>
      <c r="D287">
        <v>16.8</v>
      </c>
      <c r="E287">
        <v>230</v>
      </c>
      <c r="F287">
        <v>5700</v>
      </c>
      <c r="G287" t="s">
        <v>9</v>
      </c>
    </row>
    <row r="288" spans="1:7">
      <c r="A288" t="s">
        <v>15</v>
      </c>
      <c r="B288" t="s">
        <v>12</v>
      </c>
      <c r="C288">
        <v>46.2</v>
      </c>
      <c r="D288">
        <v>14.4</v>
      </c>
      <c r="E288">
        <v>214</v>
      </c>
      <c r="F288">
        <v>4650</v>
      </c>
      <c r="G288" t="s">
        <v>11</v>
      </c>
    </row>
    <row r="289" spans="1:7">
      <c r="A289" t="s">
        <v>15</v>
      </c>
      <c r="B289" t="s">
        <v>12</v>
      </c>
      <c r="C289">
        <v>49.5</v>
      </c>
      <c r="D289">
        <v>16.2</v>
      </c>
      <c r="E289">
        <v>229</v>
      </c>
      <c r="F289">
        <v>5800</v>
      </c>
      <c r="G289" t="s">
        <v>9</v>
      </c>
    </row>
    <row r="290" spans="1:7">
      <c r="A290" t="s">
        <v>15</v>
      </c>
      <c r="B290" t="s">
        <v>12</v>
      </c>
      <c r="C290">
        <v>43.5</v>
      </c>
      <c r="D290">
        <v>14.2</v>
      </c>
      <c r="E290">
        <v>220</v>
      </c>
      <c r="F290">
        <v>4700</v>
      </c>
      <c r="G290" t="s">
        <v>10</v>
      </c>
    </row>
    <row r="291" spans="1:7">
      <c r="A291" t="s">
        <v>15</v>
      </c>
      <c r="B291" t="s">
        <v>12</v>
      </c>
      <c r="C291">
        <v>50.7</v>
      </c>
      <c r="D291">
        <v>15</v>
      </c>
      <c r="E291">
        <v>223</v>
      </c>
      <c r="F291">
        <v>5550</v>
      </c>
      <c r="G291" t="s">
        <v>9</v>
      </c>
    </row>
    <row r="292" spans="1:7">
      <c r="A292" t="s">
        <v>15</v>
      </c>
      <c r="B292" t="s">
        <v>12</v>
      </c>
      <c r="C292">
        <v>47.7</v>
      </c>
      <c r="D292">
        <v>15</v>
      </c>
      <c r="E292">
        <v>216</v>
      </c>
      <c r="F292">
        <v>4750</v>
      </c>
      <c r="G292" t="s">
        <v>10</v>
      </c>
    </row>
    <row r="293" spans="1:7">
      <c r="A293" t="s">
        <v>15</v>
      </c>
      <c r="B293" t="s">
        <v>12</v>
      </c>
      <c r="C293">
        <v>46.4</v>
      </c>
      <c r="D293">
        <v>15.6</v>
      </c>
      <c r="E293">
        <v>221</v>
      </c>
      <c r="F293">
        <v>5000</v>
      </c>
      <c r="G293" t="s">
        <v>9</v>
      </c>
    </row>
    <row r="294" spans="1:7">
      <c r="A294" t="s">
        <v>15</v>
      </c>
      <c r="B294" t="s">
        <v>12</v>
      </c>
      <c r="C294">
        <v>48.2</v>
      </c>
      <c r="D294">
        <v>15.6</v>
      </c>
      <c r="E294">
        <v>221</v>
      </c>
      <c r="F294">
        <v>5100</v>
      </c>
      <c r="G294" t="s">
        <v>9</v>
      </c>
    </row>
    <row r="295" spans="1:7">
      <c r="A295" t="s">
        <v>15</v>
      </c>
      <c r="B295" t="s">
        <v>12</v>
      </c>
      <c r="C295">
        <v>46.5</v>
      </c>
      <c r="D295">
        <v>14.8</v>
      </c>
      <c r="E295">
        <v>217</v>
      </c>
      <c r="F295">
        <v>5200</v>
      </c>
      <c r="G295" t="s">
        <v>10</v>
      </c>
    </row>
    <row r="296" spans="1:7">
      <c r="A296" t="s">
        <v>15</v>
      </c>
      <c r="B296" t="s">
        <v>12</v>
      </c>
      <c r="C296">
        <v>46.4</v>
      </c>
      <c r="D296">
        <v>15</v>
      </c>
      <c r="E296">
        <v>216</v>
      </c>
      <c r="F296">
        <v>4700</v>
      </c>
      <c r="G296" t="s">
        <v>10</v>
      </c>
    </row>
    <row r="297" spans="1:7">
      <c r="A297" t="s">
        <v>15</v>
      </c>
      <c r="B297" t="s">
        <v>12</v>
      </c>
      <c r="C297">
        <v>48.6</v>
      </c>
      <c r="D297">
        <v>16</v>
      </c>
      <c r="E297">
        <v>230</v>
      </c>
      <c r="F297">
        <v>5800</v>
      </c>
      <c r="G297" t="s">
        <v>9</v>
      </c>
    </row>
    <row r="298" spans="1:7">
      <c r="A298" t="s">
        <v>15</v>
      </c>
      <c r="B298" t="s">
        <v>12</v>
      </c>
      <c r="C298">
        <v>47.5</v>
      </c>
      <c r="D298">
        <v>14.2</v>
      </c>
      <c r="E298">
        <v>209</v>
      </c>
      <c r="F298">
        <v>4600</v>
      </c>
      <c r="G298" t="s">
        <v>10</v>
      </c>
    </row>
    <row r="299" spans="1:7">
      <c r="A299" t="s">
        <v>15</v>
      </c>
      <c r="B299" t="s">
        <v>12</v>
      </c>
      <c r="C299">
        <v>51.1</v>
      </c>
      <c r="D299">
        <v>16.3</v>
      </c>
      <c r="E299">
        <v>220</v>
      </c>
      <c r="F299">
        <v>6000</v>
      </c>
      <c r="G299" t="s">
        <v>9</v>
      </c>
    </row>
    <row r="300" spans="1:7">
      <c r="A300" t="s">
        <v>15</v>
      </c>
      <c r="B300" t="s">
        <v>12</v>
      </c>
      <c r="C300">
        <v>45.2</v>
      </c>
      <c r="D300">
        <v>13.8</v>
      </c>
      <c r="E300">
        <v>215</v>
      </c>
      <c r="F300">
        <v>4750</v>
      </c>
      <c r="G300" t="s">
        <v>10</v>
      </c>
    </row>
    <row r="301" spans="1:7">
      <c r="A301" t="s">
        <v>15</v>
      </c>
      <c r="B301" t="s">
        <v>12</v>
      </c>
      <c r="C301">
        <v>45.2</v>
      </c>
      <c r="D301">
        <v>16.4</v>
      </c>
      <c r="E301">
        <v>223</v>
      </c>
      <c r="F301">
        <v>5950</v>
      </c>
      <c r="G301" t="s">
        <v>9</v>
      </c>
    </row>
    <row r="302" spans="1:7">
      <c r="A302" t="s">
        <v>15</v>
      </c>
      <c r="B302" t="s">
        <v>12</v>
      </c>
      <c r="C302">
        <v>49.1</v>
      </c>
      <c r="D302">
        <v>14.5</v>
      </c>
      <c r="E302">
        <v>212</v>
      </c>
      <c r="F302">
        <v>4625</v>
      </c>
      <c r="G302" t="s">
        <v>10</v>
      </c>
    </row>
    <row r="303" spans="1:7">
      <c r="A303" t="s">
        <v>15</v>
      </c>
      <c r="B303" t="s">
        <v>12</v>
      </c>
      <c r="C303">
        <v>52.5</v>
      </c>
      <c r="D303">
        <v>15.6</v>
      </c>
      <c r="E303">
        <v>221</v>
      </c>
      <c r="F303">
        <v>5450</v>
      </c>
      <c r="G303" t="s">
        <v>9</v>
      </c>
    </row>
    <row r="304" spans="1:7">
      <c r="A304" t="s">
        <v>15</v>
      </c>
      <c r="B304" t="s">
        <v>12</v>
      </c>
      <c r="C304">
        <v>47.4</v>
      </c>
      <c r="D304">
        <v>14.6</v>
      </c>
      <c r="E304">
        <v>212</v>
      </c>
      <c r="F304">
        <v>4725</v>
      </c>
      <c r="G304" t="s">
        <v>10</v>
      </c>
    </row>
    <row r="305" spans="1:7">
      <c r="A305" t="s">
        <v>15</v>
      </c>
      <c r="B305" t="s">
        <v>12</v>
      </c>
      <c r="C305">
        <v>50</v>
      </c>
      <c r="D305">
        <v>15.9</v>
      </c>
      <c r="E305">
        <v>224</v>
      </c>
      <c r="F305">
        <v>5350</v>
      </c>
      <c r="G305" t="s">
        <v>9</v>
      </c>
    </row>
    <row r="306" spans="1:7">
      <c r="A306" t="s">
        <v>15</v>
      </c>
      <c r="B306" t="s">
        <v>12</v>
      </c>
      <c r="C306">
        <v>44.9</v>
      </c>
      <c r="D306">
        <v>13.8</v>
      </c>
      <c r="E306">
        <v>212</v>
      </c>
      <c r="F306">
        <v>4750</v>
      </c>
      <c r="G306" t="s">
        <v>10</v>
      </c>
    </row>
    <row r="307" spans="1:7">
      <c r="A307" t="s">
        <v>15</v>
      </c>
      <c r="B307" t="s">
        <v>12</v>
      </c>
      <c r="C307">
        <v>50.8</v>
      </c>
      <c r="D307">
        <v>17.3</v>
      </c>
      <c r="E307">
        <v>228</v>
      </c>
      <c r="F307">
        <v>5600</v>
      </c>
      <c r="G307" t="s">
        <v>9</v>
      </c>
    </row>
    <row r="308" spans="1:7">
      <c r="A308" t="s">
        <v>15</v>
      </c>
      <c r="B308" t="s">
        <v>12</v>
      </c>
      <c r="C308">
        <v>43.4</v>
      </c>
      <c r="D308">
        <v>14.4</v>
      </c>
      <c r="E308">
        <v>218</v>
      </c>
      <c r="F308">
        <v>4600</v>
      </c>
      <c r="G308" t="s">
        <v>10</v>
      </c>
    </row>
    <row r="309" spans="1:7">
      <c r="A309" t="s">
        <v>15</v>
      </c>
      <c r="B309" t="s">
        <v>12</v>
      </c>
      <c r="C309">
        <v>51.3</v>
      </c>
      <c r="D309">
        <v>14.2</v>
      </c>
      <c r="E309">
        <v>218</v>
      </c>
      <c r="F309">
        <v>5300</v>
      </c>
      <c r="G309" t="s">
        <v>9</v>
      </c>
    </row>
    <row r="310" spans="1:7">
      <c r="A310" t="s">
        <v>15</v>
      </c>
      <c r="B310" t="s">
        <v>12</v>
      </c>
      <c r="C310">
        <v>47.5</v>
      </c>
      <c r="D310">
        <v>14</v>
      </c>
      <c r="E310">
        <v>212</v>
      </c>
      <c r="F310">
        <v>4875</v>
      </c>
      <c r="G310" t="s">
        <v>10</v>
      </c>
    </row>
    <row r="311" spans="1:7">
      <c r="A311" t="s">
        <v>15</v>
      </c>
      <c r="B311" t="s">
        <v>12</v>
      </c>
      <c r="C311">
        <v>52.1</v>
      </c>
      <c r="D311">
        <v>17</v>
      </c>
      <c r="E311">
        <v>230</v>
      </c>
      <c r="F311">
        <v>5550</v>
      </c>
      <c r="G311" t="s">
        <v>9</v>
      </c>
    </row>
    <row r="312" spans="1:7">
      <c r="A312" t="s">
        <v>15</v>
      </c>
      <c r="B312" t="s">
        <v>12</v>
      </c>
      <c r="C312">
        <v>47.5</v>
      </c>
      <c r="D312">
        <v>15</v>
      </c>
      <c r="E312">
        <v>218</v>
      </c>
      <c r="F312">
        <v>4950</v>
      </c>
      <c r="G312" t="s">
        <v>10</v>
      </c>
    </row>
    <row r="313" spans="1:7">
      <c r="A313" t="s">
        <v>15</v>
      </c>
      <c r="B313" t="s">
        <v>12</v>
      </c>
      <c r="C313">
        <v>52.2</v>
      </c>
      <c r="D313">
        <v>17.1</v>
      </c>
      <c r="E313">
        <v>228</v>
      </c>
      <c r="F313">
        <v>5400</v>
      </c>
      <c r="G313" t="s">
        <v>9</v>
      </c>
    </row>
    <row r="314" spans="1:7">
      <c r="A314" t="s">
        <v>15</v>
      </c>
      <c r="B314" t="s">
        <v>12</v>
      </c>
      <c r="C314">
        <v>45.5</v>
      </c>
      <c r="D314">
        <v>14.5</v>
      </c>
      <c r="E314">
        <v>212</v>
      </c>
      <c r="F314">
        <v>4750</v>
      </c>
      <c r="G314" t="s">
        <v>10</v>
      </c>
    </row>
    <row r="315" spans="1:7">
      <c r="A315" t="s">
        <v>15</v>
      </c>
      <c r="B315" t="s">
        <v>12</v>
      </c>
      <c r="C315">
        <v>49.5</v>
      </c>
      <c r="D315">
        <v>16.1</v>
      </c>
      <c r="E315">
        <v>224</v>
      </c>
      <c r="F315">
        <v>5650</v>
      </c>
      <c r="G315" t="s">
        <v>9</v>
      </c>
    </row>
    <row r="316" spans="1:7">
      <c r="A316" t="s">
        <v>15</v>
      </c>
      <c r="B316" t="s">
        <v>12</v>
      </c>
      <c r="C316">
        <v>44.5</v>
      </c>
      <c r="D316">
        <v>14.7</v>
      </c>
      <c r="E316">
        <v>214</v>
      </c>
      <c r="F316">
        <v>4850</v>
      </c>
      <c r="G316" t="s">
        <v>10</v>
      </c>
    </row>
    <row r="317" spans="1:7">
      <c r="A317" t="s">
        <v>15</v>
      </c>
      <c r="B317" t="s">
        <v>12</v>
      </c>
      <c r="C317">
        <v>50.8</v>
      </c>
      <c r="D317">
        <v>15.7</v>
      </c>
      <c r="E317">
        <v>226</v>
      </c>
      <c r="F317">
        <v>5200</v>
      </c>
      <c r="G317" t="s">
        <v>9</v>
      </c>
    </row>
    <row r="318" spans="1:7">
      <c r="A318" t="s">
        <v>15</v>
      </c>
      <c r="B318" t="s">
        <v>12</v>
      </c>
      <c r="C318">
        <v>49.4</v>
      </c>
      <c r="D318">
        <v>15.8</v>
      </c>
      <c r="E318">
        <v>216</v>
      </c>
      <c r="F318">
        <v>4925</v>
      </c>
      <c r="G318" t="s">
        <v>9</v>
      </c>
    </row>
    <row r="319" spans="1:7">
      <c r="A319" t="s">
        <v>15</v>
      </c>
      <c r="B319" t="s">
        <v>12</v>
      </c>
      <c r="C319">
        <v>46.9</v>
      </c>
      <c r="D319">
        <v>14.6</v>
      </c>
      <c r="E319">
        <v>222</v>
      </c>
      <c r="F319">
        <v>4875</v>
      </c>
      <c r="G319" t="s">
        <v>10</v>
      </c>
    </row>
    <row r="320" spans="1:7">
      <c r="A320" t="s">
        <v>15</v>
      </c>
      <c r="B320" t="s">
        <v>12</v>
      </c>
      <c r="C320">
        <v>48.4</v>
      </c>
      <c r="D320">
        <v>14.4</v>
      </c>
      <c r="E320">
        <v>203</v>
      </c>
      <c r="F320">
        <v>4625</v>
      </c>
      <c r="G320" t="s">
        <v>10</v>
      </c>
    </row>
    <row r="321" spans="1:7">
      <c r="A321" t="s">
        <v>15</v>
      </c>
      <c r="B321" t="s">
        <v>12</v>
      </c>
      <c r="C321">
        <v>51.1</v>
      </c>
      <c r="D321">
        <v>16.5</v>
      </c>
      <c r="E321">
        <v>225</v>
      </c>
      <c r="F321">
        <v>5250</v>
      </c>
      <c r="G321" t="s">
        <v>9</v>
      </c>
    </row>
    <row r="322" spans="1:7">
      <c r="A322" t="s">
        <v>15</v>
      </c>
      <c r="B322" t="s">
        <v>12</v>
      </c>
      <c r="C322">
        <v>48.5</v>
      </c>
      <c r="D322">
        <v>15</v>
      </c>
      <c r="E322">
        <v>219</v>
      </c>
      <c r="F322">
        <v>4850</v>
      </c>
      <c r="G322" t="s">
        <v>10</v>
      </c>
    </row>
    <row r="323" spans="1:7">
      <c r="A323" t="s">
        <v>15</v>
      </c>
      <c r="B323" t="s">
        <v>12</v>
      </c>
      <c r="C323">
        <v>55.9</v>
      </c>
      <c r="D323">
        <v>17</v>
      </c>
      <c r="E323">
        <v>228</v>
      </c>
      <c r="F323">
        <v>5600</v>
      </c>
      <c r="G323" t="s">
        <v>9</v>
      </c>
    </row>
    <row r="324" spans="1:7">
      <c r="A324" t="s">
        <v>15</v>
      </c>
      <c r="B324" t="s">
        <v>12</v>
      </c>
      <c r="C324">
        <v>47.2</v>
      </c>
      <c r="D324">
        <v>15.5</v>
      </c>
      <c r="E324">
        <v>215</v>
      </c>
      <c r="F324">
        <v>4975</v>
      </c>
      <c r="G324" t="s">
        <v>10</v>
      </c>
    </row>
    <row r="325" spans="1:7">
      <c r="A325" t="s">
        <v>15</v>
      </c>
      <c r="B325" t="s">
        <v>12</v>
      </c>
      <c r="C325">
        <v>49.1</v>
      </c>
      <c r="D325">
        <v>15</v>
      </c>
      <c r="E325">
        <v>228</v>
      </c>
      <c r="F325">
        <v>5500</v>
      </c>
      <c r="G325" t="s">
        <v>9</v>
      </c>
    </row>
    <row r="326" spans="1:7">
      <c r="A326" t="s">
        <v>15</v>
      </c>
      <c r="B326" t="s">
        <v>12</v>
      </c>
      <c r="C326">
        <v>47.3</v>
      </c>
      <c r="D326">
        <v>13.8</v>
      </c>
      <c r="E326">
        <v>216</v>
      </c>
      <c r="F326">
        <v>4725</v>
      </c>
      <c r="G326" t="s">
        <v>11</v>
      </c>
    </row>
    <row r="327" spans="1:7">
      <c r="A327" t="s">
        <v>15</v>
      </c>
      <c r="B327" t="s">
        <v>12</v>
      </c>
      <c r="C327">
        <v>46.8</v>
      </c>
      <c r="D327">
        <v>16.1</v>
      </c>
      <c r="E327">
        <v>215</v>
      </c>
      <c r="F327">
        <v>5500</v>
      </c>
      <c r="G327" t="s">
        <v>9</v>
      </c>
    </row>
    <row r="328" spans="1:7">
      <c r="A328" t="s">
        <v>15</v>
      </c>
      <c r="B328" t="s">
        <v>12</v>
      </c>
      <c r="C328">
        <v>41.7</v>
      </c>
      <c r="D328">
        <v>14.7</v>
      </c>
      <c r="E328">
        <v>210</v>
      </c>
      <c r="F328">
        <v>4700</v>
      </c>
      <c r="G328" t="s">
        <v>10</v>
      </c>
    </row>
    <row r="329" spans="1:7">
      <c r="A329" t="s">
        <v>15</v>
      </c>
      <c r="B329" t="s">
        <v>12</v>
      </c>
      <c r="C329">
        <v>53.4</v>
      </c>
      <c r="D329">
        <v>15.8</v>
      </c>
      <c r="E329">
        <v>219</v>
      </c>
      <c r="F329">
        <v>5500</v>
      </c>
      <c r="G329" t="s">
        <v>9</v>
      </c>
    </row>
    <row r="330" spans="1:7">
      <c r="A330" t="s">
        <v>15</v>
      </c>
      <c r="B330" t="s">
        <v>12</v>
      </c>
      <c r="C330">
        <v>43.3</v>
      </c>
      <c r="D330">
        <v>14</v>
      </c>
      <c r="E330">
        <v>208</v>
      </c>
      <c r="F330">
        <v>4575</v>
      </c>
      <c r="G330" t="s">
        <v>10</v>
      </c>
    </row>
    <row r="331" spans="1:7">
      <c r="A331" t="s">
        <v>15</v>
      </c>
      <c r="B331" t="s">
        <v>12</v>
      </c>
      <c r="C331">
        <v>48.1</v>
      </c>
      <c r="D331">
        <v>15.1</v>
      </c>
      <c r="E331">
        <v>209</v>
      </c>
      <c r="F331">
        <v>5500</v>
      </c>
      <c r="G331" t="s">
        <v>9</v>
      </c>
    </row>
    <row r="332" spans="1:7">
      <c r="A332" t="s">
        <v>15</v>
      </c>
      <c r="B332" t="s">
        <v>12</v>
      </c>
      <c r="C332">
        <v>50.5</v>
      </c>
      <c r="D332">
        <v>15.2</v>
      </c>
      <c r="E332">
        <v>216</v>
      </c>
      <c r="F332">
        <v>5000</v>
      </c>
      <c r="G332" t="s">
        <v>10</v>
      </c>
    </row>
    <row r="333" spans="1:7">
      <c r="A333" t="s">
        <v>15</v>
      </c>
      <c r="B333" t="s">
        <v>12</v>
      </c>
      <c r="C333">
        <v>49.8</v>
      </c>
      <c r="D333">
        <v>15.9</v>
      </c>
      <c r="E333">
        <v>229</v>
      </c>
      <c r="F333">
        <v>5950</v>
      </c>
      <c r="G333" t="s">
        <v>9</v>
      </c>
    </row>
    <row r="334" spans="1:7">
      <c r="A334" t="s">
        <v>15</v>
      </c>
      <c r="B334" t="s">
        <v>12</v>
      </c>
      <c r="C334">
        <v>43.5</v>
      </c>
      <c r="D334">
        <v>15.2</v>
      </c>
      <c r="E334">
        <v>213</v>
      </c>
      <c r="F334">
        <v>4650</v>
      </c>
      <c r="G334" t="s">
        <v>10</v>
      </c>
    </row>
    <row r="335" spans="1:7">
      <c r="A335" t="s">
        <v>15</v>
      </c>
      <c r="B335" t="s">
        <v>12</v>
      </c>
      <c r="C335">
        <v>51.5</v>
      </c>
      <c r="D335">
        <v>16.3</v>
      </c>
      <c r="E335">
        <v>230</v>
      </c>
      <c r="F335">
        <v>5500</v>
      </c>
      <c r="G335" t="s">
        <v>9</v>
      </c>
    </row>
    <row r="336" spans="1:7">
      <c r="A336" t="s">
        <v>15</v>
      </c>
      <c r="B336" t="s">
        <v>12</v>
      </c>
      <c r="C336">
        <v>46.2</v>
      </c>
      <c r="D336">
        <v>14.1</v>
      </c>
      <c r="E336">
        <v>217</v>
      </c>
      <c r="F336">
        <v>4375</v>
      </c>
      <c r="G336" t="s">
        <v>10</v>
      </c>
    </row>
    <row r="337" spans="1:7">
      <c r="A337" t="s">
        <v>15</v>
      </c>
      <c r="B337" t="s">
        <v>12</v>
      </c>
      <c r="C337">
        <v>55.1</v>
      </c>
      <c r="D337">
        <v>16</v>
      </c>
      <c r="E337">
        <v>230</v>
      </c>
      <c r="F337">
        <v>5850</v>
      </c>
      <c r="G337" t="s">
        <v>9</v>
      </c>
    </row>
    <row r="338" spans="1:7">
      <c r="A338" t="s">
        <v>15</v>
      </c>
      <c r="B338" t="s">
        <v>12</v>
      </c>
      <c r="C338">
        <v>44.5</v>
      </c>
      <c r="D338">
        <v>15.7</v>
      </c>
      <c r="E338">
        <v>217</v>
      </c>
      <c r="F338">
        <v>4875</v>
      </c>
      <c r="G338" t="s">
        <v>16</v>
      </c>
    </row>
    <row r="339" spans="1:7">
      <c r="A339" t="s">
        <v>15</v>
      </c>
      <c r="B339" t="s">
        <v>12</v>
      </c>
      <c r="C339">
        <v>48.8</v>
      </c>
      <c r="D339">
        <v>16.2</v>
      </c>
      <c r="E339">
        <v>222</v>
      </c>
      <c r="F339">
        <v>6000</v>
      </c>
      <c r="G339" t="s">
        <v>9</v>
      </c>
    </row>
    <row r="340" spans="1:7">
      <c r="A340" t="s">
        <v>15</v>
      </c>
      <c r="B340" t="s">
        <v>12</v>
      </c>
      <c r="C340">
        <v>47.2</v>
      </c>
      <c r="D340">
        <v>13.7</v>
      </c>
      <c r="E340">
        <v>214</v>
      </c>
      <c r="F340">
        <v>4925</v>
      </c>
      <c r="G340" t="s">
        <v>10</v>
      </c>
    </row>
    <row r="341" spans="1:7">
      <c r="A341" t="s">
        <v>15</v>
      </c>
      <c r="B341" t="s">
        <v>12</v>
      </c>
      <c r="C341" t="s">
        <v>11</v>
      </c>
      <c r="D341" t="s">
        <v>11</v>
      </c>
      <c r="E341" t="s">
        <v>11</v>
      </c>
      <c r="F341" t="s">
        <v>11</v>
      </c>
      <c r="G341" t="s">
        <v>11</v>
      </c>
    </row>
    <row r="342" spans="1:7">
      <c r="A342" t="s">
        <v>15</v>
      </c>
      <c r="B342" t="s">
        <v>12</v>
      </c>
      <c r="C342">
        <v>46.8</v>
      </c>
      <c r="D342">
        <v>14.3</v>
      </c>
      <c r="E342">
        <v>215</v>
      </c>
      <c r="F342">
        <v>4850</v>
      </c>
      <c r="G342" t="s">
        <v>10</v>
      </c>
    </row>
    <row r="343" spans="1:7">
      <c r="A343" t="s">
        <v>15</v>
      </c>
      <c r="B343" t="s">
        <v>12</v>
      </c>
      <c r="C343">
        <v>50.4</v>
      </c>
      <c r="D343">
        <v>15.7</v>
      </c>
      <c r="E343">
        <v>222</v>
      </c>
      <c r="F343">
        <v>5750</v>
      </c>
      <c r="G343" t="s">
        <v>9</v>
      </c>
    </row>
    <row r="344" spans="1:7">
      <c r="A344" t="s">
        <v>15</v>
      </c>
      <c r="B344" t="s">
        <v>12</v>
      </c>
      <c r="C344">
        <v>45.2</v>
      </c>
      <c r="D344">
        <v>14.8</v>
      </c>
      <c r="E344">
        <v>212</v>
      </c>
      <c r="F344">
        <v>5200</v>
      </c>
      <c r="G344" t="s">
        <v>10</v>
      </c>
    </row>
    <row r="345" spans="1:7">
      <c r="A345" t="s">
        <v>15</v>
      </c>
      <c r="B345" t="s">
        <v>12</v>
      </c>
      <c r="C345">
        <v>49.9</v>
      </c>
      <c r="D345">
        <v>16.1</v>
      </c>
      <c r="E345">
        <v>213</v>
      </c>
      <c r="F345">
        <v>5400</v>
      </c>
      <c r="G345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5"/>
  <sheetViews>
    <sheetView tabSelected="1" topLeftCell="A334" workbookViewId="0">
      <selection activeCell="E336" sqref="E336"/>
    </sheetView>
  </sheetViews>
  <sheetFormatPr defaultColWidth="9.14285714285714" defaultRowHeight="15"/>
  <cols>
    <col min="2" max="2" width="10.4285714285714" customWidth="1"/>
    <col min="3" max="3" width="20.4285714285714" customWidth="1"/>
    <col min="4" max="4" width="20" customWidth="1"/>
    <col min="5" max="5" width="19.8571428571429" customWidth="1"/>
    <col min="6" max="6" width="13.8571428571429" customWidth="1"/>
    <col min="7" max="7" width="8.42857142857143" customWidth="1"/>
    <col min="8" max="8" width="1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</v>
      </c>
      <c r="I1" t="s">
        <v>18</v>
      </c>
    </row>
    <row r="2" spans="1:10">
      <c r="A2" t="s">
        <v>7</v>
      </c>
      <c r="B2" t="s">
        <v>8</v>
      </c>
      <c r="C2">
        <v>39.1</v>
      </c>
      <c r="D2">
        <v>18.7</v>
      </c>
      <c r="E2">
        <v>181</v>
      </c>
      <c r="F2">
        <v>3750</v>
      </c>
      <c r="G2" t="s">
        <v>9</v>
      </c>
      <c r="H2">
        <f>F2/1000</f>
        <v>3.75</v>
      </c>
      <c r="I2" t="str" cm="1">
        <f t="array" ref="I2">_xlfn.IFS(G2="MALE","Male",G2="FEMALE","Female",G2="NA","Unknown")</f>
        <v>Male</v>
      </c>
      <c r="J2" t="str" cm="1">
        <f t="array" ref="J2">_xlfn.IFS(H2&gt;=3.5,"Big",H2&lt;3.5,"Small")</f>
        <v>Big</v>
      </c>
    </row>
    <row r="3" spans="1:10">
      <c r="A3" t="s">
        <v>7</v>
      </c>
      <c r="B3" t="s">
        <v>8</v>
      </c>
      <c r="C3">
        <v>39.5</v>
      </c>
      <c r="D3">
        <v>17.4</v>
      </c>
      <c r="E3">
        <v>186</v>
      </c>
      <c r="F3">
        <v>3800</v>
      </c>
      <c r="G3" t="s">
        <v>10</v>
      </c>
      <c r="H3">
        <f t="shared" ref="H3:H66" si="0">F3/1000</f>
        <v>3.8</v>
      </c>
      <c r="I3" t="str" cm="1">
        <f t="array" ref="I3">_xlfn.IFS(G3="MALE","Male",G3="FEMALE","Female",G3="NA","Unknown")</f>
        <v>Female</v>
      </c>
      <c r="J3" t="str" cm="1">
        <f t="array" ref="J3">_xlfn.IFS(H3&gt;=3.5,"Big",H3&lt;3.5,"Small")</f>
        <v>Big</v>
      </c>
    </row>
    <row r="4" spans="1:10">
      <c r="A4" t="s">
        <v>7</v>
      </c>
      <c r="B4" t="s">
        <v>8</v>
      </c>
      <c r="C4">
        <v>40.3</v>
      </c>
      <c r="D4">
        <v>18</v>
      </c>
      <c r="E4">
        <v>195</v>
      </c>
      <c r="F4">
        <v>3250</v>
      </c>
      <c r="G4" t="s">
        <v>10</v>
      </c>
      <c r="H4">
        <f t="shared" si="0"/>
        <v>3.25</v>
      </c>
      <c r="I4" t="str" cm="1">
        <f t="array" ref="I4">_xlfn.IFS(G4="MALE","Male",G4="FEMALE","Female",G4="NA","Unknown")</f>
        <v>Female</v>
      </c>
      <c r="J4" t="str" cm="1">
        <f t="array" ref="J4">_xlfn.IFS(H4&gt;=3.5,"Big",H4&lt;3.5,"Small")</f>
        <v>Small</v>
      </c>
    </row>
    <row r="5" s="1" customFormat="1" spans="1:10">
      <c r="A5" s="2" t="s">
        <v>7</v>
      </c>
      <c r="B5" s="2" t="s">
        <v>8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11</v>
      </c>
      <c r="H5" s="1" t="e">
        <f t="shared" si="0"/>
        <v>#VALUE!</v>
      </c>
      <c r="I5" s="2" t="str" cm="1">
        <f t="array" ref="I5">_xlfn.IFS(G5="MALE","Male",G5="FEMALE","Female",G5="NA","Unknown")</f>
        <v>Unknown</v>
      </c>
      <c r="J5" s="1" t="e" cm="1">
        <f t="array" ref="J5">_xlfn.IFS(H5&gt;=3.5,"Big",H5&lt;3.5,"Small")</f>
        <v>#VALUE!</v>
      </c>
    </row>
    <row r="6" spans="1:10">
      <c r="A6" t="s">
        <v>7</v>
      </c>
      <c r="B6" t="s">
        <v>8</v>
      </c>
      <c r="C6">
        <v>36.7</v>
      </c>
      <c r="D6">
        <v>19.3</v>
      </c>
      <c r="E6">
        <v>193</v>
      </c>
      <c r="F6">
        <v>3450</v>
      </c>
      <c r="G6" t="s">
        <v>10</v>
      </c>
      <c r="H6">
        <f t="shared" si="0"/>
        <v>3.45</v>
      </c>
      <c r="I6" t="str" cm="1">
        <f t="array" ref="I6">_xlfn.IFS(G6="MALE","Male",G6="FEMALE","Female",G6="NA","Unknown")</f>
        <v>Female</v>
      </c>
      <c r="J6" t="str" cm="1">
        <f t="array" ref="J6">_xlfn.IFS(H6&gt;=3.5,"Big",H6&lt;3.5,"Small")</f>
        <v>Small</v>
      </c>
    </row>
    <row r="7" spans="1:10">
      <c r="A7" t="s">
        <v>7</v>
      </c>
      <c r="B7" t="s">
        <v>8</v>
      </c>
      <c r="C7">
        <v>39.3</v>
      </c>
      <c r="D7">
        <v>20.6</v>
      </c>
      <c r="E7">
        <v>190</v>
      </c>
      <c r="F7">
        <v>3650</v>
      </c>
      <c r="G7" t="s">
        <v>9</v>
      </c>
      <c r="H7">
        <f t="shared" si="0"/>
        <v>3.65</v>
      </c>
      <c r="I7" t="str" cm="1">
        <f t="array" ref="I7">_xlfn.IFS(G7="MALE","Male",G7="FEMALE","Female",G7="NA","Unknown")</f>
        <v>Male</v>
      </c>
      <c r="J7" t="str" cm="1">
        <f t="array" ref="J7">_xlfn.IFS(H7&gt;=3.5,"Big",H7&lt;3.5,"Small")</f>
        <v>Big</v>
      </c>
    </row>
    <row r="8" spans="1:10">
      <c r="A8" t="s">
        <v>7</v>
      </c>
      <c r="B8" t="s">
        <v>8</v>
      </c>
      <c r="C8">
        <v>38.9</v>
      </c>
      <c r="D8">
        <v>17.8</v>
      </c>
      <c r="E8">
        <v>181</v>
      </c>
      <c r="F8">
        <v>3625</v>
      </c>
      <c r="G8" t="s">
        <v>10</v>
      </c>
      <c r="H8">
        <f t="shared" si="0"/>
        <v>3.625</v>
      </c>
      <c r="I8" t="str" cm="1">
        <f t="array" ref="I8">_xlfn.IFS(G8="MALE","Male",G8="FEMALE","Female",G8="NA","Unknown")</f>
        <v>Female</v>
      </c>
      <c r="J8" t="str" cm="1">
        <f t="array" ref="J8">_xlfn.IFS(H8&gt;=3.5,"Big",H8&lt;3.5,"Small")</f>
        <v>Big</v>
      </c>
    </row>
    <row r="9" spans="1:10">
      <c r="A9" t="s">
        <v>7</v>
      </c>
      <c r="B9" t="s">
        <v>8</v>
      </c>
      <c r="C9">
        <v>39.2</v>
      </c>
      <c r="D9">
        <v>19.6</v>
      </c>
      <c r="E9">
        <v>195</v>
      </c>
      <c r="F9">
        <v>4675</v>
      </c>
      <c r="G9" t="s">
        <v>9</v>
      </c>
      <c r="H9">
        <f t="shared" si="0"/>
        <v>4.675</v>
      </c>
      <c r="I9" t="str" cm="1">
        <f t="array" ref="I9">_xlfn.IFS(G9="MALE","Male",G9="FEMALE","Female",G9="NA","Unknown")</f>
        <v>Male</v>
      </c>
      <c r="J9" t="str" cm="1">
        <f t="array" ref="J9">_xlfn.IFS(H9&gt;=3.5,"Big",H9&lt;3.5,"Small")</f>
        <v>Big</v>
      </c>
    </row>
    <row r="10" spans="1:10">
      <c r="A10" t="s">
        <v>7</v>
      </c>
      <c r="B10" t="s">
        <v>8</v>
      </c>
      <c r="C10">
        <v>34.1</v>
      </c>
      <c r="D10">
        <v>18.1</v>
      </c>
      <c r="E10">
        <v>193</v>
      </c>
      <c r="F10">
        <v>3475</v>
      </c>
      <c r="G10" t="s">
        <v>11</v>
      </c>
      <c r="H10">
        <f t="shared" si="0"/>
        <v>3.475</v>
      </c>
      <c r="I10" t="str" cm="1">
        <f t="array" ref="I10">_xlfn.IFS(G10="MALE","Male",G10="FEMALE","Female",G10="NA","Unknown")</f>
        <v>Unknown</v>
      </c>
      <c r="J10" t="str" cm="1">
        <f t="array" ref="J10">_xlfn.IFS(H10&gt;=3.5,"Big",H10&lt;3.5,"Small")</f>
        <v>Small</v>
      </c>
    </row>
    <row r="11" spans="1:10">
      <c r="A11" t="s">
        <v>7</v>
      </c>
      <c r="B11" t="s">
        <v>8</v>
      </c>
      <c r="C11">
        <v>42</v>
      </c>
      <c r="D11">
        <v>20.2</v>
      </c>
      <c r="E11">
        <v>190</v>
      </c>
      <c r="F11">
        <v>4250</v>
      </c>
      <c r="G11" t="s">
        <v>11</v>
      </c>
      <c r="H11">
        <f t="shared" si="0"/>
        <v>4.25</v>
      </c>
      <c r="I11" t="str" cm="1">
        <f t="array" ref="I11">_xlfn.IFS(G11="MALE","Male",G11="FEMALE","Female",G11="NA","Unknown")</f>
        <v>Unknown</v>
      </c>
      <c r="J11" t="str" cm="1">
        <f t="array" ref="J11">_xlfn.IFS(H11&gt;=3.5,"Big",H11&lt;3.5,"Small")</f>
        <v>Big</v>
      </c>
    </row>
    <row r="12" spans="1:10">
      <c r="A12" t="s">
        <v>7</v>
      </c>
      <c r="B12" t="s">
        <v>8</v>
      </c>
      <c r="C12">
        <v>37.8</v>
      </c>
      <c r="D12">
        <v>17.1</v>
      </c>
      <c r="E12">
        <v>186</v>
      </c>
      <c r="F12">
        <v>3300</v>
      </c>
      <c r="G12" t="s">
        <v>11</v>
      </c>
      <c r="H12">
        <f t="shared" si="0"/>
        <v>3.3</v>
      </c>
      <c r="I12" t="str" cm="1">
        <f t="array" ref="I12">_xlfn.IFS(G12="MALE","Male",G12="FEMALE","Female",G12="NA","Unknown")</f>
        <v>Unknown</v>
      </c>
      <c r="J12" t="str" cm="1">
        <f t="array" ref="J12">_xlfn.IFS(H12&gt;=3.5,"Big",H12&lt;3.5,"Small")</f>
        <v>Small</v>
      </c>
    </row>
    <row r="13" spans="1:10">
      <c r="A13" t="s">
        <v>7</v>
      </c>
      <c r="B13" t="s">
        <v>8</v>
      </c>
      <c r="C13">
        <v>37.8</v>
      </c>
      <c r="D13">
        <v>17.3</v>
      </c>
      <c r="E13">
        <v>180</v>
      </c>
      <c r="F13">
        <v>3700</v>
      </c>
      <c r="G13" t="s">
        <v>11</v>
      </c>
      <c r="H13">
        <f t="shared" si="0"/>
        <v>3.7</v>
      </c>
      <c r="I13" t="str" cm="1">
        <f t="array" ref="I13">_xlfn.IFS(G13="MALE","Male",G13="FEMALE","Female",G13="NA","Unknown")</f>
        <v>Unknown</v>
      </c>
      <c r="J13" t="str" cm="1">
        <f t="array" ref="J13">_xlfn.IFS(H13&gt;=3.5,"Big",H13&lt;3.5,"Small")</f>
        <v>Big</v>
      </c>
    </row>
    <row r="14" spans="1:10">
      <c r="A14" t="s">
        <v>7</v>
      </c>
      <c r="B14" t="s">
        <v>8</v>
      </c>
      <c r="C14">
        <v>41.1</v>
      </c>
      <c r="D14">
        <v>17.6</v>
      </c>
      <c r="E14">
        <v>182</v>
      </c>
      <c r="F14">
        <v>3200</v>
      </c>
      <c r="G14" t="s">
        <v>10</v>
      </c>
      <c r="H14">
        <f t="shared" si="0"/>
        <v>3.2</v>
      </c>
      <c r="I14" t="str" cm="1">
        <f t="array" ref="I14">_xlfn.IFS(G14="MALE","Male",G14="FEMALE","Female",G14="NA","Unknown")</f>
        <v>Female</v>
      </c>
      <c r="J14" t="str" cm="1">
        <f t="array" ref="J14">_xlfn.IFS(H14&gt;=3.5,"Big",H14&lt;3.5,"Small")</f>
        <v>Small</v>
      </c>
    </row>
    <row r="15" spans="1:10">
      <c r="A15" t="s">
        <v>7</v>
      </c>
      <c r="B15" t="s">
        <v>8</v>
      </c>
      <c r="C15">
        <v>38.6</v>
      </c>
      <c r="D15">
        <v>21.2</v>
      </c>
      <c r="E15">
        <v>191</v>
      </c>
      <c r="F15">
        <v>3800</v>
      </c>
      <c r="G15" t="s">
        <v>9</v>
      </c>
      <c r="H15">
        <f t="shared" si="0"/>
        <v>3.8</v>
      </c>
      <c r="I15" t="str" cm="1">
        <f t="array" ref="I15">_xlfn.IFS(G15="MALE","Male",G15="FEMALE","Female",G15="NA","Unknown")</f>
        <v>Male</v>
      </c>
      <c r="J15" t="str" cm="1">
        <f t="array" ref="J15">_xlfn.IFS(H15&gt;=3.5,"Big",H15&lt;3.5,"Small")</f>
        <v>Big</v>
      </c>
    </row>
    <row r="16" spans="1:10">
      <c r="A16" t="s">
        <v>7</v>
      </c>
      <c r="B16" t="s">
        <v>8</v>
      </c>
      <c r="C16">
        <v>34.6</v>
      </c>
      <c r="D16">
        <v>21.1</v>
      </c>
      <c r="E16">
        <v>198</v>
      </c>
      <c r="F16">
        <v>4400</v>
      </c>
      <c r="G16" t="s">
        <v>9</v>
      </c>
      <c r="H16">
        <f t="shared" si="0"/>
        <v>4.4</v>
      </c>
      <c r="I16" t="str" cm="1">
        <f t="array" ref="I16">_xlfn.IFS(G16="MALE","Male",G16="FEMALE","Female",G16="NA","Unknown")</f>
        <v>Male</v>
      </c>
      <c r="J16" t="str" cm="1">
        <f t="array" ref="J16">_xlfn.IFS(H16&gt;=3.5,"Big",H16&lt;3.5,"Small")</f>
        <v>Big</v>
      </c>
    </row>
    <row r="17" spans="1:10">
      <c r="A17" t="s">
        <v>7</v>
      </c>
      <c r="B17" t="s">
        <v>8</v>
      </c>
      <c r="C17">
        <v>36.6</v>
      </c>
      <c r="D17">
        <v>17.8</v>
      </c>
      <c r="E17">
        <v>185</v>
      </c>
      <c r="F17">
        <v>3700</v>
      </c>
      <c r="G17" t="s">
        <v>10</v>
      </c>
      <c r="H17">
        <f t="shared" si="0"/>
        <v>3.7</v>
      </c>
      <c r="I17" t="str" cm="1">
        <f t="array" ref="I17">_xlfn.IFS(G17="MALE","Male",G17="FEMALE","Female",G17="NA","Unknown")</f>
        <v>Female</v>
      </c>
      <c r="J17" t="str" cm="1">
        <f t="array" ref="J17">_xlfn.IFS(H17&gt;=3.5,"Big",H17&lt;3.5,"Small")</f>
        <v>Big</v>
      </c>
    </row>
    <row r="18" spans="1:10">
      <c r="A18" t="s">
        <v>7</v>
      </c>
      <c r="B18" t="s">
        <v>8</v>
      </c>
      <c r="C18">
        <v>38.7</v>
      </c>
      <c r="D18">
        <v>19</v>
      </c>
      <c r="E18">
        <v>195</v>
      </c>
      <c r="F18">
        <v>3450</v>
      </c>
      <c r="G18" t="s">
        <v>10</v>
      </c>
      <c r="H18">
        <f t="shared" si="0"/>
        <v>3.45</v>
      </c>
      <c r="I18" t="str" cm="1">
        <f t="array" ref="I18">_xlfn.IFS(G18="MALE","Male",G18="FEMALE","Female",G18="NA","Unknown")</f>
        <v>Female</v>
      </c>
      <c r="J18" t="str" cm="1">
        <f t="array" ref="J18">_xlfn.IFS(H18&gt;=3.5,"Big",H18&lt;3.5,"Small")</f>
        <v>Small</v>
      </c>
    </row>
    <row r="19" spans="1:10">
      <c r="A19" t="s">
        <v>7</v>
      </c>
      <c r="B19" t="s">
        <v>8</v>
      </c>
      <c r="C19">
        <v>42.5</v>
      </c>
      <c r="D19">
        <v>20.7</v>
      </c>
      <c r="E19">
        <v>197</v>
      </c>
      <c r="F19">
        <v>4500</v>
      </c>
      <c r="G19" t="s">
        <v>9</v>
      </c>
      <c r="H19">
        <f t="shared" si="0"/>
        <v>4.5</v>
      </c>
      <c r="I19" t="str" cm="1">
        <f t="array" ref="I19">_xlfn.IFS(G19="MALE","Male",G19="FEMALE","Female",G19="NA","Unknown")</f>
        <v>Male</v>
      </c>
      <c r="J19" t="str" cm="1">
        <f t="array" ref="J19">_xlfn.IFS(H19&gt;=3.5,"Big",H19&lt;3.5,"Small")</f>
        <v>Big</v>
      </c>
    </row>
    <row r="20" spans="1:10">
      <c r="A20" t="s">
        <v>7</v>
      </c>
      <c r="B20" t="s">
        <v>8</v>
      </c>
      <c r="C20">
        <v>34.4</v>
      </c>
      <c r="D20">
        <v>18.4</v>
      </c>
      <c r="E20">
        <v>184</v>
      </c>
      <c r="F20">
        <v>3325</v>
      </c>
      <c r="G20" t="s">
        <v>10</v>
      </c>
      <c r="H20">
        <f t="shared" si="0"/>
        <v>3.325</v>
      </c>
      <c r="I20" t="str" cm="1">
        <f t="array" ref="I20">_xlfn.IFS(G20="MALE","Male",G20="FEMALE","Female",G20="NA","Unknown")</f>
        <v>Female</v>
      </c>
      <c r="J20" t="str" cm="1">
        <f t="array" ref="J20">_xlfn.IFS(H20&gt;=3.5,"Big",H20&lt;3.5,"Small")</f>
        <v>Small</v>
      </c>
    </row>
    <row r="21" spans="1:10">
      <c r="A21" t="s">
        <v>7</v>
      </c>
      <c r="B21" t="s">
        <v>8</v>
      </c>
      <c r="C21">
        <v>46</v>
      </c>
      <c r="D21">
        <v>21.5</v>
      </c>
      <c r="E21">
        <v>194</v>
      </c>
      <c r="F21">
        <v>4200</v>
      </c>
      <c r="G21" t="s">
        <v>9</v>
      </c>
      <c r="H21">
        <f t="shared" si="0"/>
        <v>4.2</v>
      </c>
      <c r="I21" t="str" cm="1">
        <f t="array" ref="I21">_xlfn.IFS(G21="MALE","Male",G21="FEMALE","Female",G21="NA","Unknown")</f>
        <v>Male</v>
      </c>
      <c r="J21" t="str" cm="1">
        <f t="array" ref="J21">_xlfn.IFS(H21&gt;=3.5,"Big",H21&lt;3.5,"Small")</f>
        <v>Big</v>
      </c>
    </row>
    <row r="22" spans="1:10">
      <c r="A22" t="s">
        <v>7</v>
      </c>
      <c r="B22" t="s">
        <v>12</v>
      </c>
      <c r="C22">
        <v>37.8</v>
      </c>
      <c r="D22">
        <v>18.3</v>
      </c>
      <c r="E22">
        <v>174</v>
      </c>
      <c r="F22">
        <v>3400</v>
      </c>
      <c r="G22" t="s">
        <v>10</v>
      </c>
      <c r="H22">
        <f t="shared" si="0"/>
        <v>3.4</v>
      </c>
      <c r="I22" t="str" cm="1">
        <f t="array" ref="I22">_xlfn.IFS(G22="MALE","Male",G22="FEMALE","Female",G22="NA","Unknown")</f>
        <v>Female</v>
      </c>
      <c r="J22" t="str" cm="1">
        <f t="array" ref="J22">_xlfn.IFS(H22&gt;=3.5,"Big",H22&lt;3.5,"Small")</f>
        <v>Small</v>
      </c>
    </row>
    <row r="23" spans="1:10">
      <c r="A23" t="s">
        <v>7</v>
      </c>
      <c r="B23" t="s">
        <v>12</v>
      </c>
      <c r="C23">
        <v>37.7</v>
      </c>
      <c r="D23">
        <v>18.7</v>
      </c>
      <c r="E23">
        <v>180</v>
      </c>
      <c r="F23">
        <v>3600</v>
      </c>
      <c r="G23" t="s">
        <v>9</v>
      </c>
      <c r="H23">
        <f t="shared" si="0"/>
        <v>3.6</v>
      </c>
      <c r="I23" t="str" cm="1">
        <f t="array" ref="I23">_xlfn.IFS(G23="MALE","Male",G23="FEMALE","Female",G23="NA","Unknown")</f>
        <v>Male</v>
      </c>
      <c r="J23" t="str" cm="1">
        <f t="array" ref="J23">_xlfn.IFS(H23&gt;=3.5,"Big",H23&lt;3.5,"Small")</f>
        <v>Big</v>
      </c>
    </row>
    <row r="24" spans="1:10">
      <c r="A24" t="s">
        <v>7</v>
      </c>
      <c r="B24" t="s">
        <v>12</v>
      </c>
      <c r="C24">
        <v>35.9</v>
      </c>
      <c r="D24">
        <v>19.2</v>
      </c>
      <c r="E24">
        <v>189</v>
      </c>
      <c r="F24">
        <v>3800</v>
      </c>
      <c r="G24" t="s">
        <v>10</v>
      </c>
      <c r="H24">
        <f t="shared" si="0"/>
        <v>3.8</v>
      </c>
      <c r="I24" t="str" cm="1">
        <f t="array" ref="I24">_xlfn.IFS(G24="MALE","Male",G24="FEMALE","Female",G24="NA","Unknown")</f>
        <v>Female</v>
      </c>
      <c r="J24" t="str" cm="1">
        <f t="array" ref="J24">_xlfn.IFS(H24&gt;=3.5,"Big",H24&lt;3.5,"Small")</f>
        <v>Big</v>
      </c>
    </row>
    <row r="25" spans="1:10">
      <c r="A25" t="s">
        <v>7</v>
      </c>
      <c r="B25" t="s">
        <v>12</v>
      </c>
      <c r="C25">
        <v>38.2</v>
      </c>
      <c r="D25">
        <v>18.1</v>
      </c>
      <c r="E25">
        <v>185</v>
      </c>
      <c r="F25">
        <v>3950</v>
      </c>
      <c r="G25" t="s">
        <v>9</v>
      </c>
      <c r="H25">
        <f t="shared" si="0"/>
        <v>3.95</v>
      </c>
      <c r="I25" t="str" cm="1">
        <f t="array" ref="I25">_xlfn.IFS(G25="MALE","Male",G25="FEMALE","Female",G25="NA","Unknown")</f>
        <v>Male</v>
      </c>
      <c r="J25" t="str" cm="1">
        <f t="array" ref="J25">_xlfn.IFS(H25&gt;=3.5,"Big",H25&lt;3.5,"Small")</f>
        <v>Big</v>
      </c>
    </row>
    <row r="26" spans="1:10">
      <c r="A26" t="s">
        <v>7</v>
      </c>
      <c r="B26" t="s">
        <v>12</v>
      </c>
      <c r="C26">
        <v>38.8</v>
      </c>
      <c r="D26">
        <v>17.2</v>
      </c>
      <c r="E26">
        <v>180</v>
      </c>
      <c r="F26">
        <v>3800</v>
      </c>
      <c r="G26" t="s">
        <v>9</v>
      </c>
      <c r="H26">
        <f t="shared" si="0"/>
        <v>3.8</v>
      </c>
      <c r="I26" t="str" cm="1">
        <f t="array" ref="I26">_xlfn.IFS(G26="MALE","Male",G26="FEMALE","Female",G26="NA","Unknown")</f>
        <v>Male</v>
      </c>
      <c r="J26" t="str" cm="1">
        <f t="array" ref="J26">_xlfn.IFS(H26&gt;=3.5,"Big",H26&lt;3.5,"Small")</f>
        <v>Big</v>
      </c>
    </row>
    <row r="27" spans="1:10">
      <c r="A27" t="s">
        <v>7</v>
      </c>
      <c r="B27" t="s">
        <v>12</v>
      </c>
      <c r="C27">
        <v>35.3</v>
      </c>
      <c r="D27">
        <v>18.9</v>
      </c>
      <c r="E27">
        <v>187</v>
      </c>
      <c r="F27">
        <v>3800</v>
      </c>
      <c r="G27" t="s">
        <v>10</v>
      </c>
      <c r="H27">
        <f t="shared" si="0"/>
        <v>3.8</v>
      </c>
      <c r="I27" t="str" cm="1">
        <f t="array" ref="I27">_xlfn.IFS(G27="MALE","Male",G27="FEMALE","Female",G27="NA","Unknown")</f>
        <v>Female</v>
      </c>
      <c r="J27" t="str" cm="1">
        <f t="array" ref="J27">_xlfn.IFS(H27&gt;=3.5,"Big",H27&lt;3.5,"Small")</f>
        <v>Big</v>
      </c>
    </row>
    <row r="28" spans="1:10">
      <c r="A28" t="s">
        <v>7</v>
      </c>
      <c r="B28" t="s">
        <v>12</v>
      </c>
      <c r="C28">
        <v>40.6</v>
      </c>
      <c r="D28">
        <v>18.6</v>
      </c>
      <c r="E28">
        <v>183</v>
      </c>
      <c r="F28">
        <v>3550</v>
      </c>
      <c r="G28" t="s">
        <v>9</v>
      </c>
      <c r="H28">
        <f t="shared" si="0"/>
        <v>3.55</v>
      </c>
      <c r="I28" t="str" cm="1">
        <f t="array" ref="I28">_xlfn.IFS(G28="MALE","Male",G28="FEMALE","Female",G28="NA","Unknown")</f>
        <v>Male</v>
      </c>
      <c r="J28" t="str" cm="1">
        <f t="array" ref="J28">_xlfn.IFS(H28&gt;=3.5,"Big",H28&lt;3.5,"Small")</f>
        <v>Big</v>
      </c>
    </row>
    <row r="29" spans="1:10">
      <c r="A29" t="s">
        <v>7</v>
      </c>
      <c r="B29" t="s">
        <v>12</v>
      </c>
      <c r="C29">
        <v>40.5</v>
      </c>
      <c r="D29">
        <v>17.9</v>
      </c>
      <c r="E29">
        <v>187</v>
      </c>
      <c r="F29">
        <v>3200</v>
      </c>
      <c r="G29" t="s">
        <v>10</v>
      </c>
      <c r="H29">
        <f t="shared" si="0"/>
        <v>3.2</v>
      </c>
      <c r="I29" t="str" cm="1">
        <f t="array" ref="I29">_xlfn.IFS(G29="MALE","Male",G29="FEMALE","Female",G29="NA","Unknown")</f>
        <v>Female</v>
      </c>
      <c r="J29" t="str" cm="1">
        <f t="array" ref="J29">_xlfn.IFS(H29&gt;=3.5,"Big",H29&lt;3.5,"Small")</f>
        <v>Small</v>
      </c>
    </row>
    <row r="30" spans="1:10">
      <c r="A30" t="s">
        <v>7</v>
      </c>
      <c r="B30" t="s">
        <v>12</v>
      </c>
      <c r="C30">
        <v>37.9</v>
      </c>
      <c r="D30">
        <v>18.6</v>
      </c>
      <c r="E30">
        <v>172</v>
      </c>
      <c r="F30">
        <v>3150</v>
      </c>
      <c r="G30" t="s">
        <v>10</v>
      </c>
      <c r="H30">
        <f t="shared" si="0"/>
        <v>3.15</v>
      </c>
      <c r="I30" t="str" cm="1">
        <f t="array" ref="I30">_xlfn.IFS(G30="MALE","Male",G30="FEMALE","Female",G30="NA","Unknown")</f>
        <v>Female</v>
      </c>
      <c r="J30" t="str" cm="1">
        <f t="array" ref="J30">_xlfn.IFS(H30&gt;=3.5,"Big",H30&lt;3.5,"Small")</f>
        <v>Small</v>
      </c>
    </row>
    <row r="31" spans="1:10">
      <c r="A31" t="s">
        <v>7</v>
      </c>
      <c r="B31" t="s">
        <v>12</v>
      </c>
      <c r="C31">
        <v>40.5</v>
      </c>
      <c r="D31">
        <v>18.9</v>
      </c>
      <c r="E31">
        <v>180</v>
      </c>
      <c r="F31">
        <v>3950</v>
      </c>
      <c r="G31" t="s">
        <v>9</v>
      </c>
      <c r="H31">
        <f t="shared" si="0"/>
        <v>3.95</v>
      </c>
      <c r="I31" t="str" cm="1">
        <f t="array" ref="I31">_xlfn.IFS(G31="MALE","Male",G31="FEMALE","Female",G31="NA","Unknown")</f>
        <v>Male</v>
      </c>
      <c r="J31" t="str" cm="1">
        <f t="array" ref="J31">_xlfn.IFS(H31&gt;=3.5,"Big",H31&lt;3.5,"Small")</f>
        <v>Big</v>
      </c>
    </row>
    <row r="32" spans="1:10">
      <c r="A32" t="s">
        <v>7</v>
      </c>
      <c r="B32" t="s">
        <v>13</v>
      </c>
      <c r="C32">
        <v>39.5</v>
      </c>
      <c r="D32">
        <v>16.7</v>
      </c>
      <c r="E32">
        <v>178</v>
      </c>
      <c r="F32">
        <v>3250</v>
      </c>
      <c r="G32" t="s">
        <v>10</v>
      </c>
      <c r="H32">
        <f t="shared" si="0"/>
        <v>3.25</v>
      </c>
      <c r="I32" t="str" cm="1">
        <f t="array" ref="I32">_xlfn.IFS(G32="MALE","Male",G32="FEMALE","Female",G32="NA","Unknown")</f>
        <v>Female</v>
      </c>
      <c r="J32" t="str" cm="1">
        <f t="array" ref="J32">_xlfn.IFS(H32&gt;=3.5,"Big",H32&lt;3.5,"Small")</f>
        <v>Small</v>
      </c>
    </row>
    <row r="33" spans="1:10">
      <c r="A33" t="s">
        <v>7</v>
      </c>
      <c r="B33" t="s">
        <v>13</v>
      </c>
      <c r="C33">
        <v>37.2</v>
      </c>
      <c r="D33">
        <v>18.1</v>
      </c>
      <c r="E33">
        <v>178</v>
      </c>
      <c r="F33">
        <v>3900</v>
      </c>
      <c r="G33" t="s">
        <v>9</v>
      </c>
      <c r="H33">
        <f t="shared" si="0"/>
        <v>3.9</v>
      </c>
      <c r="I33" t="str" cm="1">
        <f t="array" ref="I33">_xlfn.IFS(G33="MALE","Male",G33="FEMALE","Female",G33="NA","Unknown")</f>
        <v>Male</v>
      </c>
      <c r="J33" t="str" cm="1">
        <f t="array" ref="J33">_xlfn.IFS(H33&gt;=3.5,"Big",H33&lt;3.5,"Small")</f>
        <v>Big</v>
      </c>
    </row>
    <row r="34" spans="1:10">
      <c r="A34" t="s">
        <v>7</v>
      </c>
      <c r="B34" t="s">
        <v>13</v>
      </c>
      <c r="C34">
        <v>39.5</v>
      </c>
      <c r="D34">
        <v>17.8</v>
      </c>
      <c r="E34">
        <v>188</v>
      </c>
      <c r="F34">
        <v>3300</v>
      </c>
      <c r="G34" t="s">
        <v>10</v>
      </c>
      <c r="H34">
        <f t="shared" si="0"/>
        <v>3.3</v>
      </c>
      <c r="I34" t="str" cm="1">
        <f t="array" ref="I34">_xlfn.IFS(G34="MALE","Male",G34="FEMALE","Female",G34="NA","Unknown")</f>
        <v>Female</v>
      </c>
      <c r="J34" t="str" cm="1">
        <f t="array" ref="J34">_xlfn.IFS(H34&gt;=3.5,"Big",H34&lt;3.5,"Small")</f>
        <v>Small</v>
      </c>
    </row>
    <row r="35" spans="1:10">
      <c r="A35" t="s">
        <v>7</v>
      </c>
      <c r="B35" t="s">
        <v>13</v>
      </c>
      <c r="C35">
        <v>40.9</v>
      </c>
      <c r="D35">
        <v>18.9</v>
      </c>
      <c r="E35">
        <v>184</v>
      </c>
      <c r="F35">
        <v>3900</v>
      </c>
      <c r="G35" t="s">
        <v>9</v>
      </c>
      <c r="H35">
        <f t="shared" si="0"/>
        <v>3.9</v>
      </c>
      <c r="I35" t="str" cm="1">
        <f t="array" ref="I35">_xlfn.IFS(G35="MALE","Male",G35="FEMALE","Female",G35="NA","Unknown")</f>
        <v>Male</v>
      </c>
      <c r="J35" t="str" cm="1">
        <f t="array" ref="J35">_xlfn.IFS(H35&gt;=3.5,"Big",H35&lt;3.5,"Small")</f>
        <v>Big</v>
      </c>
    </row>
    <row r="36" spans="1:10">
      <c r="A36" t="s">
        <v>7</v>
      </c>
      <c r="B36" t="s">
        <v>13</v>
      </c>
      <c r="C36">
        <v>36.4</v>
      </c>
      <c r="D36">
        <v>17</v>
      </c>
      <c r="E36">
        <v>195</v>
      </c>
      <c r="F36">
        <v>3325</v>
      </c>
      <c r="G36" t="s">
        <v>10</v>
      </c>
      <c r="H36">
        <f t="shared" si="0"/>
        <v>3.325</v>
      </c>
      <c r="I36" t="str" cm="1">
        <f t="array" ref="I36">_xlfn.IFS(G36="MALE","Male",G36="FEMALE","Female",G36="NA","Unknown")</f>
        <v>Female</v>
      </c>
      <c r="J36" t="str" cm="1">
        <f t="array" ref="J36">_xlfn.IFS(H36&gt;=3.5,"Big",H36&lt;3.5,"Small")</f>
        <v>Small</v>
      </c>
    </row>
    <row r="37" spans="1:10">
      <c r="A37" t="s">
        <v>7</v>
      </c>
      <c r="B37" t="s">
        <v>13</v>
      </c>
      <c r="C37">
        <v>39.2</v>
      </c>
      <c r="D37">
        <v>21.1</v>
      </c>
      <c r="E37">
        <v>196</v>
      </c>
      <c r="F37">
        <v>4150</v>
      </c>
      <c r="G37" t="s">
        <v>9</v>
      </c>
      <c r="H37">
        <f t="shared" si="0"/>
        <v>4.15</v>
      </c>
      <c r="I37" t="str" cm="1">
        <f t="array" ref="I37">_xlfn.IFS(G37="MALE","Male",G37="FEMALE","Female",G37="NA","Unknown")</f>
        <v>Male</v>
      </c>
      <c r="J37" t="str" cm="1">
        <f t="array" ref="J37">_xlfn.IFS(H37&gt;=3.5,"Big",H37&lt;3.5,"Small")</f>
        <v>Big</v>
      </c>
    </row>
    <row r="38" spans="1:10">
      <c r="A38" t="s">
        <v>7</v>
      </c>
      <c r="B38" t="s">
        <v>13</v>
      </c>
      <c r="C38">
        <v>38.8</v>
      </c>
      <c r="D38">
        <v>20</v>
      </c>
      <c r="E38">
        <v>190</v>
      </c>
      <c r="F38">
        <v>3950</v>
      </c>
      <c r="G38" t="s">
        <v>9</v>
      </c>
      <c r="H38">
        <f t="shared" si="0"/>
        <v>3.95</v>
      </c>
      <c r="I38" t="str" cm="1">
        <f t="array" ref="I38">_xlfn.IFS(G38="MALE","Male",G38="FEMALE","Female",G38="NA","Unknown")</f>
        <v>Male</v>
      </c>
      <c r="J38" t="str" cm="1">
        <f t="array" ref="J38">_xlfn.IFS(H38&gt;=3.5,"Big",H38&lt;3.5,"Small")</f>
        <v>Big</v>
      </c>
    </row>
    <row r="39" spans="1:10">
      <c r="A39" t="s">
        <v>7</v>
      </c>
      <c r="B39" t="s">
        <v>13</v>
      </c>
      <c r="C39">
        <v>42.2</v>
      </c>
      <c r="D39">
        <v>18.5</v>
      </c>
      <c r="E39">
        <v>180</v>
      </c>
      <c r="F39">
        <v>3550</v>
      </c>
      <c r="G39" t="s">
        <v>10</v>
      </c>
      <c r="H39">
        <f t="shared" si="0"/>
        <v>3.55</v>
      </c>
      <c r="I39" t="str" cm="1">
        <f t="array" ref="I39">_xlfn.IFS(G39="MALE","Male",G39="FEMALE","Female",G39="NA","Unknown")</f>
        <v>Female</v>
      </c>
      <c r="J39" t="str" cm="1">
        <f t="array" ref="J39">_xlfn.IFS(H39&gt;=3.5,"Big",H39&lt;3.5,"Small")</f>
        <v>Big</v>
      </c>
    </row>
    <row r="40" spans="1:10">
      <c r="A40" t="s">
        <v>7</v>
      </c>
      <c r="B40" t="s">
        <v>13</v>
      </c>
      <c r="C40">
        <v>37.6</v>
      </c>
      <c r="D40">
        <v>19.3</v>
      </c>
      <c r="E40">
        <v>181</v>
      </c>
      <c r="F40">
        <v>3300</v>
      </c>
      <c r="G40" t="s">
        <v>10</v>
      </c>
      <c r="H40">
        <f t="shared" si="0"/>
        <v>3.3</v>
      </c>
      <c r="I40" t="str" cm="1">
        <f t="array" ref="I40">_xlfn.IFS(G40="MALE","Male",G40="FEMALE","Female",G40="NA","Unknown")</f>
        <v>Female</v>
      </c>
      <c r="J40" t="str" cm="1">
        <f t="array" ref="J40">_xlfn.IFS(H40&gt;=3.5,"Big",H40&lt;3.5,"Small")</f>
        <v>Small</v>
      </c>
    </row>
    <row r="41" spans="1:10">
      <c r="A41" t="s">
        <v>7</v>
      </c>
      <c r="B41" t="s">
        <v>13</v>
      </c>
      <c r="C41">
        <v>39.8</v>
      </c>
      <c r="D41">
        <v>19.1</v>
      </c>
      <c r="E41">
        <v>184</v>
      </c>
      <c r="F41">
        <v>4650</v>
      </c>
      <c r="G41" t="s">
        <v>9</v>
      </c>
      <c r="H41">
        <f t="shared" si="0"/>
        <v>4.65</v>
      </c>
      <c r="I41" t="str" cm="1">
        <f t="array" ref="I41">_xlfn.IFS(G41="MALE","Male",G41="FEMALE","Female",G41="NA","Unknown")</f>
        <v>Male</v>
      </c>
      <c r="J41" t="str" cm="1">
        <f t="array" ref="J41">_xlfn.IFS(H41&gt;=3.5,"Big",H41&lt;3.5,"Small")</f>
        <v>Big</v>
      </c>
    </row>
    <row r="42" spans="1:10">
      <c r="A42" t="s">
        <v>7</v>
      </c>
      <c r="B42" t="s">
        <v>13</v>
      </c>
      <c r="C42">
        <v>36.5</v>
      </c>
      <c r="D42">
        <v>18</v>
      </c>
      <c r="E42">
        <v>182</v>
      </c>
      <c r="F42">
        <v>3150</v>
      </c>
      <c r="G42" t="s">
        <v>10</v>
      </c>
      <c r="H42">
        <f t="shared" si="0"/>
        <v>3.15</v>
      </c>
      <c r="I42" t="str" cm="1">
        <f t="array" ref="I42">_xlfn.IFS(G42="MALE","Male",G42="FEMALE","Female",G42="NA","Unknown")</f>
        <v>Female</v>
      </c>
      <c r="J42" t="str" cm="1">
        <f t="array" ref="J42">_xlfn.IFS(H42&gt;=3.5,"Big",H42&lt;3.5,"Small")</f>
        <v>Small</v>
      </c>
    </row>
    <row r="43" spans="1:10">
      <c r="A43" t="s">
        <v>7</v>
      </c>
      <c r="B43" t="s">
        <v>13</v>
      </c>
      <c r="C43">
        <v>40.8</v>
      </c>
      <c r="D43">
        <v>18.4</v>
      </c>
      <c r="E43">
        <v>195</v>
      </c>
      <c r="F43">
        <v>3900</v>
      </c>
      <c r="G43" t="s">
        <v>9</v>
      </c>
      <c r="H43">
        <f t="shared" si="0"/>
        <v>3.9</v>
      </c>
      <c r="I43" t="str" cm="1">
        <f t="array" ref="I43">_xlfn.IFS(G43="MALE","Male",G43="FEMALE","Female",G43="NA","Unknown")</f>
        <v>Male</v>
      </c>
      <c r="J43" t="str" cm="1">
        <f t="array" ref="J43">_xlfn.IFS(H43&gt;=3.5,"Big",H43&lt;3.5,"Small")</f>
        <v>Big</v>
      </c>
    </row>
    <row r="44" spans="1:10">
      <c r="A44" t="s">
        <v>7</v>
      </c>
      <c r="B44" t="s">
        <v>13</v>
      </c>
      <c r="C44">
        <v>36</v>
      </c>
      <c r="D44">
        <v>18.5</v>
      </c>
      <c r="E44">
        <v>186</v>
      </c>
      <c r="F44">
        <v>3100</v>
      </c>
      <c r="G44" t="s">
        <v>10</v>
      </c>
      <c r="H44">
        <f t="shared" si="0"/>
        <v>3.1</v>
      </c>
      <c r="I44" t="str" cm="1">
        <f t="array" ref="I44">_xlfn.IFS(G44="MALE","Male",G44="FEMALE","Female",G44="NA","Unknown")</f>
        <v>Female</v>
      </c>
      <c r="J44" t="str" cm="1">
        <f t="array" ref="J44">_xlfn.IFS(H44&gt;=3.5,"Big",H44&lt;3.5,"Small")</f>
        <v>Small</v>
      </c>
    </row>
    <row r="45" spans="1:10">
      <c r="A45" t="s">
        <v>7</v>
      </c>
      <c r="B45" t="s">
        <v>13</v>
      </c>
      <c r="C45">
        <v>44.1</v>
      </c>
      <c r="D45">
        <v>19.7</v>
      </c>
      <c r="E45">
        <v>196</v>
      </c>
      <c r="F45">
        <v>4400</v>
      </c>
      <c r="G45" t="s">
        <v>9</v>
      </c>
      <c r="H45">
        <f t="shared" si="0"/>
        <v>4.4</v>
      </c>
      <c r="I45" t="str" cm="1">
        <f t="array" ref="I45">_xlfn.IFS(G45="MALE","Male",G45="FEMALE","Female",G45="NA","Unknown")</f>
        <v>Male</v>
      </c>
      <c r="J45" t="str" cm="1">
        <f t="array" ref="J45">_xlfn.IFS(H45&gt;=3.5,"Big",H45&lt;3.5,"Small")</f>
        <v>Big</v>
      </c>
    </row>
    <row r="46" spans="1:10">
      <c r="A46" t="s">
        <v>7</v>
      </c>
      <c r="B46" t="s">
        <v>13</v>
      </c>
      <c r="C46">
        <v>37</v>
      </c>
      <c r="D46">
        <v>16.9</v>
      </c>
      <c r="E46">
        <v>185</v>
      </c>
      <c r="F46">
        <v>3000</v>
      </c>
      <c r="G46" t="s">
        <v>10</v>
      </c>
      <c r="H46">
        <f t="shared" si="0"/>
        <v>3</v>
      </c>
      <c r="I46" t="str" cm="1">
        <f t="array" ref="I46">_xlfn.IFS(G46="MALE","Male",G46="FEMALE","Female",G46="NA","Unknown")</f>
        <v>Female</v>
      </c>
      <c r="J46" t="str" cm="1">
        <f t="array" ref="J46">_xlfn.IFS(H46&gt;=3.5,"Big",H46&lt;3.5,"Small")</f>
        <v>Small</v>
      </c>
    </row>
    <row r="47" spans="1:10">
      <c r="A47" t="s">
        <v>7</v>
      </c>
      <c r="B47" t="s">
        <v>13</v>
      </c>
      <c r="C47">
        <v>39.6</v>
      </c>
      <c r="D47">
        <v>18.8</v>
      </c>
      <c r="E47">
        <v>190</v>
      </c>
      <c r="F47">
        <v>4600</v>
      </c>
      <c r="G47" t="s">
        <v>9</v>
      </c>
      <c r="H47">
        <f t="shared" si="0"/>
        <v>4.6</v>
      </c>
      <c r="I47" t="str" cm="1">
        <f t="array" ref="I47">_xlfn.IFS(G47="MALE","Male",G47="FEMALE","Female",G47="NA","Unknown")</f>
        <v>Male</v>
      </c>
      <c r="J47" t="str" cm="1">
        <f t="array" ref="J47">_xlfn.IFS(H47&gt;=3.5,"Big",H47&lt;3.5,"Small")</f>
        <v>Big</v>
      </c>
    </row>
    <row r="48" spans="1:10">
      <c r="A48" t="s">
        <v>7</v>
      </c>
      <c r="B48" t="s">
        <v>13</v>
      </c>
      <c r="C48">
        <v>41.1</v>
      </c>
      <c r="D48">
        <v>19</v>
      </c>
      <c r="E48">
        <v>182</v>
      </c>
      <c r="F48">
        <v>3425</v>
      </c>
      <c r="G48" t="s">
        <v>9</v>
      </c>
      <c r="H48">
        <f t="shared" si="0"/>
        <v>3.425</v>
      </c>
      <c r="I48" t="str" cm="1">
        <f t="array" ref="I48">_xlfn.IFS(G48="MALE","Male",G48="FEMALE","Female",G48="NA","Unknown")</f>
        <v>Male</v>
      </c>
      <c r="J48" t="str" cm="1">
        <f t="array" ref="J48">_xlfn.IFS(H48&gt;=3.5,"Big",H48&lt;3.5,"Small")</f>
        <v>Small</v>
      </c>
    </row>
    <row r="49" spans="1:10">
      <c r="A49" t="s">
        <v>7</v>
      </c>
      <c r="B49" t="s">
        <v>13</v>
      </c>
      <c r="C49">
        <v>37.5</v>
      </c>
      <c r="D49">
        <v>18.9</v>
      </c>
      <c r="E49">
        <v>179</v>
      </c>
      <c r="F49">
        <v>2975</v>
      </c>
      <c r="G49" t="s">
        <v>11</v>
      </c>
      <c r="H49">
        <f t="shared" si="0"/>
        <v>2.975</v>
      </c>
      <c r="I49" t="str" cm="1">
        <f t="array" ref="I49">_xlfn.IFS(G49="MALE","Male",G49="FEMALE","Female",G49="NA","Unknown")</f>
        <v>Unknown</v>
      </c>
      <c r="J49" t="str" cm="1">
        <f t="array" ref="J49">_xlfn.IFS(H49&gt;=3.5,"Big",H49&lt;3.5,"Small")</f>
        <v>Small</v>
      </c>
    </row>
    <row r="50" spans="1:10">
      <c r="A50" t="s">
        <v>7</v>
      </c>
      <c r="B50" t="s">
        <v>13</v>
      </c>
      <c r="C50">
        <v>36</v>
      </c>
      <c r="D50">
        <v>17.9</v>
      </c>
      <c r="E50">
        <v>190</v>
      </c>
      <c r="F50">
        <v>3450</v>
      </c>
      <c r="G50" t="s">
        <v>10</v>
      </c>
      <c r="H50">
        <f t="shared" si="0"/>
        <v>3.45</v>
      </c>
      <c r="I50" t="str" cm="1">
        <f t="array" ref="I50">_xlfn.IFS(G50="MALE","Male",G50="FEMALE","Female",G50="NA","Unknown")</f>
        <v>Female</v>
      </c>
      <c r="J50" t="str" cm="1">
        <f t="array" ref="J50">_xlfn.IFS(H50&gt;=3.5,"Big",H50&lt;3.5,"Small")</f>
        <v>Small</v>
      </c>
    </row>
    <row r="51" spans="1:10">
      <c r="A51" t="s">
        <v>7</v>
      </c>
      <c r="B51" t="s">
        <v>13</v>
      </c>
      <c r="C51">
        <v>42.3</v>
      </c>
      <c r="D51">
        <v>21.2</v>
      </c>
      <c r="E51">
        <v>191</v>
      </c>
      <c r="F51">
        <v>4150</v>
      </c>
      <c r="G51" t="s">
        <v>9</v>
      </c>
      <c r="H51">
        <f t="shared" si="0"/>
        <v>4.15</v>
      </c>
      <c r="I51" t="str" cm="1">
        <f t="array" ref="I51">_xlfn.IFS(G51="MALE","Male",G51="FEMALE","Female",G51="NA","Unknown")</f>
        <v>Male</v>
      </c>
      <c r="J51" t="str" cm="1">
        <f t="array" ref="J51">_xlfn.IFS(H51&gt;=3.5,"Big",H51&lt;3.5,"Small")</f>
        <v>Big</v>
      </c>
    </row>
    <row r="52" spans="1:10">
      <c r="A52" t="s">
        <v>7</v>
      </c>
      <c r="B52" t="s">
        <v>12</v>
      </c>
      <c r="C52">
        <v>39.6</v>
      </c>
      <c r="D52">
        <v>17.7</v>
      </c>
      <c r="E52">
        <v>186</v>
      </c>
      <c r="F52">
        <v>3500</v>
      </c>
      <c r="G52" t="s">
        <v>10</v>
      </c>
      <c r="H52">
        <f t="shared" si="0"/>
        <v>3.5</v>
      </c>
      <c r="I52" t="str" cm="1">
        <f t="array" ref="I52">_xlfn.IFS(G52="MALE","Male",G52="FEMALE","Female",G52="NA","Unknown")</f>
        <v>Female</v>
      </c>
      <c r="J52" t="str" cm="1">
        <f t="array" ref="J52">_xlfn.IFS(H52&gt;=3.5,"Big",H52&lt;3.5,"Small")</f>
        <v>Big</v>
      </c>
    </row>
    <row r="53" spans="1:10">
      <c r="A53" t="s">
        <v>7</v>
      </c>
      <c r="B53" t="s">
        <v>12</v>
      </c>
      <c r="C53">
        <v>40.1</v>
      </c>
      <c r="D53">
        <v>18.9</v>
      </c>
      <c r="E53">
        <v>188</v>
      </c>
      <c r="F53">
        <v>4300</v>
      </c>
      <c r="G53" t="s">
        <v>9</v>
      </c>
      <c r="H53">
        <f t="shared" si="0"/>
        <v>4.3</v>
      </c>
      <c r="I53" t="str" cm="1">
        <f t="array" ref="I53">_xlfn.IFS(G53="MALE","Male",G53="FEMALE","Female",G53="NA","Unknown")</f>
        <v>Male</v>
      </c>
      <c r="J53" t="str" cm="1">
        <f t="array" ref="J53">_xlfn.IFS(H53&gt;=3.5,"Big",H53&lt;3.5,"Small")</f>
        <v>Big</v>
      </c>
    </row>
    <row r="54" spans="1:10">
      <c r="A54" t="s">
        <v>7</v>
      </c>
      <c r="B54" t="s">
        <v>12</v>
      </c>
      <c r="C54">
        <v>35</v>
      </c>
      <c r="D54">
        <v>17.9</v>
      </c>
      <c r="E54">
        <v>190</v>
      </c>
      <c r="F54">
        <v>3450</v>
      </c>
      <c r="G54" t="s">
        <v>10</v>
      </c>
      <c r="H54">
        <f t="shared" si="0"/>
        <v>3.45</v>
      </c>
      <c r="I54" t="str" cm="1">
        <f t="array" ref="I54">_xlfn.IFS(G54="MALE","Male",G54="FEMALE","Female",G54="NA","Unknown")</f>
        <v>Female</v>
      </c>
      <c r="J54" t="str" cm="1">
        <f t="array" ref="J54">_xlfn.IFS(H54&gt;=3.5,"Big",H54&lt;3.5,"Small")</f>
        <v>Small</v>
      </c>
    </row>
    <row r="55" spans="1:10">
      <c r="A55" t="s">
        <v>7</v>
      </c>
      <c r="B55" t="s">
        <v>12</v>
      </c>
      <c r="C55">
        <v>42</v>
      </c>
      <c r="D55">
        <v>19.5</v>
      </c>
      <c r="E55">
        <v>200</v>
      </c>
      <c r="F55">
        <v>4050</v>
      </c>
      <c r="G55" t="s">
        <v>9</v>
      </c>
      <c r="H55">
        <f t="shared" si="0"/>
        <v>4.05</v>
      </c>
      <c r="I55" t="str" cm="1">
        <f t="array" ref="I55">_xlfn.IFS(G55="MALE","Male",G55="FEMALE","Female",G55="NA","Unknown")</f>
        <v>Male</v>
      </c>
      <c r="J55" t="str" cm="1">
        <f t="array" ref="J55">_xlfn.IFS(H55&gt;=3.5,"Big",H55&lt;3.5,"Small")</f>
        <v>Big</v>
      </c>
    </row>
    <row r="56" spans="1:10">
      <c r="A56" t="s">
        <v>7</v>
      </c>
      <c r="B56" t="s">
        <v>12</v>
      </c>
      <c r="C56">
        <v>34.5</v>
      </c>
      <c r="D56">
        <v>18.1</v>
      </c>
      <c r="E56">
        <v>187</v>
      </c>
      <c r="F56">
        <v>2900</v>
      </c>
      <c r="G56" t="s">
        <v>10</v>
      </c>
      <c r="H56">
        <f t="shared" si="0"/>
        <v>2.9</v>
      </c>
      <c r="I56" t="str" cm="1">
        <f t="array" ref="I56">_xlfn.IFS(G56="MALE","Male",G56="FEMALE","Female",G56="NA","Unknown")</f>
        <v>Female</v>
      </c>
      <c r="J56" t="str" cm="1">
        <f t="array" ref="J56">_xlfn.IFS(H56&gt;=3.5,"Big",H56&lt;3.5,"Small")</f>
        <v>Small</v>
      </c>
    </row>
    <row r="57" spans="1:10">
      <c r="A57" t="s">
        <v>7</v>
      </c>
      <c r="B57" t="s">
        <v>12</v>
      </c>
      <c r="C57">
        <v>41.4</v>
      </c>
      <c r="D57">
        <v>18.6</v>
      </c>
      <c r="E57">
        <v>191</v>
      </c>
      <c r="F57">
        <v>3700</v>
      </c>
      <c r="G57" t="s">
        <v>9</v>
      </c>
      <c r="H57">
        <f t="shared" si="0"/>
        <v>3.7</v>
      </c>
      <c r="I57" t="str" cm="1">
        <f t="array" ref="I57">_xlfn.IFS(G57="MALE","Male",G57="FEMALE","Female",G57="NA","Unknown")</f>
        <v>Male</v>
      </c>
      <c r="J57" t="str" cm="1">
        <f t="array" ref="J57">_xlfn.IFS(H57&gt;=3.5,"Big",H57&lt;3.5,"Small")</f>
        <v>Big</v>
      </c>
    </row>
    <row r="58" spans="1:10">
      <c r="A58" t="s">
        <v>7</v>
      </c>
      <c r="B58" t="s">
        <v>12</v>
      </c>
      <c r="C58">
        <v>39</v>
      </c>
      <c r="D58">
        <v>17.5</v>
      </c>
      <c r="E58">
        <v>186</v>
      </c>
      <c r="F58">
        <v>3550</v>
      </c>
      <c r="G58" t="s">
        <v>10</v>
      </c>
      <c r="H58">
        <f t="shared" si="0"/>
        <v>3.55</v>
      </c>
      <c r="I58" t="str" cm="1">
        <f t="array" ref="I58">_xlfn.IFS(G58="MALE","Male",G58="FEMALE","Female",G58="NA","Unknown")</f>
        <v>Female</v>
      </c>
      <c r="J58" t="str" cm="1">
        <f t="array" ref="J58">_xlfn.IFS(H58&gt;=3.5,"Big",H58&lt;3.5,"Small")</f>
        <v>Big</v>
      </c>
    </row>
    <row r="59" spans="1:10">
      <c r="A59" t="s">
        <v>7</v>
      </c>
      <c r="B59" t="s">
        <v>12</v>
      </c>
      <c r="C59">
        <v>40.6</v>
      </c>
      <c r="D59">
        <v>18.8</v>
      </c>
      <c r="E59">
        <v>193</v>
      </c>
      <c r="F59">
        <v>3800</v>
      </c>
      <c r="G59" t="s">
        <v>9</v>
      </c>
      <c r="H59">
        <f t="shared" si="0"/>
        <v>3.8</v>
      </c>
      <c r="I59" t="str" cm="1">
        <f t="array" ref="I59">_xlfn.IFS(G59="MALE","Male",G59="FEMALE","Female",G59="NA","Unknown")</f>
        <v>Male</v>
      </c>
      <c r="J59" t="str" cm="1">
        <f t="array" ref="J59">_xlfn.IFS(H59&gt;=3.5,"Big",H59&lt;3.5,"Small")</f>
        <v>Big</v>
      </c>
    </row>
    <row r="60" spans="1:10">
      <c r="A60" t="s">
        <v>7</v>
      </c>
      <c r="B60" t="s">
        <v>12</v>
      </c>
      <c r="C60">
        <v>36.5</v>
      </c>
      <c r="D60">
        <v>16.6</v>
      </c>
      <c r="E60">
        <v>181</v>
      </c>
      <c r="F60">
        <v>2850</v>
      </c>
      <c r="G60" t="s">
        <v>10</v>
      </c>
      <c r="H60">
        <f t="shared" si="0"/>
        <v>2.85</v>
      </c>
      <c r="I60" t="str" cm="1">
        <f t="array" ref="I60">_xlfn.IFS(G60="MALE","Male",G60="FEMALE","Female",G60="NA","Unknown")</f>
        <v>Female</v>
      </c>
      <c r="J60" t="str" cm="1">
        <f t="array" ref="J60">_xlfn.IFS(H60&gt;=3.5,"Big",H60&lt;3.5,"Small")</f>
        <v>Small</v>
      </c>
    </row>
    <row r="61" spans="1:10">
      <c r="A61" t="s">
        <v>7</v>
      </c>
      <c r="B61" t="s">
        <v>12</v>
      </c>
      <c r="C61">
        <v>37.6</v>
      </c>
      <c r="D61">
        <v>19.1</v>
      </c>
      <c r="E61">
        <v>194</v>
      </c>
      <c r="F61">
        <v>3750</v>
      </c>
      <c r="G61" t="s">
        <v>9</v>
      </c>
      <c r="H61">
        <f t="shared" si="0"/>
        <v>3.75</v>
      </c>
      <c r="I61" t="str" cm="1">
        <f t="array" ref="I61">_xlfn.IFS(G61="MALE","Male",G61="FEMALE","Female",G61="NA","Unknown")</f>
        <v>Male</v>
      </c>
      <c r="J61" t="str" cm="1">
        <f t="array" ref="J61">_xlfn.IFS(H61&gt;=3.5,"Big",H61&lt;3.5,"Small")</f>
        <v>Big</v>
      </c>
    </row>
    <row r="62" spans="1:10">
      <c r="A62" t="s">
        <v>7</v>
      </c>
      <c r="B62" t="s">
        <v>12</v>
      </c>
      <c r="C62">
        <v>35.7</v>
      </c>
      <c r="D62">
        <v>16.9</v>
      </c>
      <c r="E62">
        <v>185</v>
      </c>
      <c r="F62">
        <v>3150</v>
      </c>
      <c r="G62" t="s">
        <v>10</v>
      </c>
      <c r="H62">
        <f t="shared" si="0"/>
        <v>3.15</v>
      </c>
      <c r="I62" t="str" cm="1">
        <f t="array" ref="I62">_xlfn.IFS(G62="MALE","Male",G62="FEMALE","Female",G62="NA","Unknown")</f>
        <v>Female</v>
      </c>
      <c r="J62" t="str" cm="1">
        <f t="array" ref="J62">_xlfn.IFS(H62&gt;=3.5,"Big",H62&lt;3.5,"Small")</f>
        <v>Small</v>
      </c>
    </row>
    <row r="63" spans="1:10">
      <c r="A63" t="s">
        <v>7</v>
      </c>
      <c r="B63" t="s">
        <v>12</v>
      </c>
      <c r="C63">
        <v>41.3</v>
      </c>
      <c r="D63">
        <v>21.1</v>
      </c>
      <c r="E63">
        <v>195</v>
      </c>
      <c r="F63">
        <v>4400</v>
      </c>
      <c r="G63" t="s">
        <v>9</v>
      </c>
      <c r="H63">
        <f t="shared" si="0"/>
        <v>4.4</v>
      </c>
      <c r="I63" t="str" cm="1">
        <f t="array" ref="I63">_xlfn.IFS(G63="MALE","Male",G63="FEMALE","Female",G63="NA","Unknown")</f>
        <v>Male</v>
      </c>
      <c r="J63" t="str" cm="1">
        <f t="array" ref="J63">_xlfn.IFS(H63&gt;=3.5,"Big",H63&lt;3.5,"Small")</f>
        <v>Big</v>
      </c>
    </row>
    <row r="64" spans="1:10">
      <c r="A64" t="s">
        <v>7</v>
      </c>
      <c r="B64" t="s">
        <v>12</v>
      </c>
      <c r="C64">
        <v>37.6</v>
      </c>
      <c r="D64">
        <v>17</v>
      </c>
      <c r="E64">
        <v>185</v>
      </c>
      <c r="F64">
        <v>3600</v>
      </c>
      <c r="G64" t="s">
        <v>10</v>
      </c>
      <c r="H64">
        <f t="shared" si="0"/>
        <v>3.6</v>
      </c>
      <c r="I64" t="str" cm="1">
        <f t="array" ref="I64">_xlfn.IFS(G64="MALE","Male",G64="FEMALE","Female",G64="NA","Unknown")</f>
        <v>Female</v>
      </c>
      <c r="J64" t="str" cm="1">
        <f t="array" ref="J64">_xlfn.IFS(H64&gt;=3.5,"Big",H64&lt;3.5,"Small")</f>
        <v>Big</v>
      </c>
    </row>
    <row r="65" spans="1:10">
      <c r="A65" t="s">
        <v>7</v>
      </c>
      <c r="B65" t="s">
        <v>12</v>
      </c>
      <c r="C65">
        <v>41.1</v>
      </c>
      <c r="D65">
        <v>18.2</v>
      </c>
      <c r="E65">
        <v>192</v>
      </c>
      <c r="F65">
        <v>4050</v>
      </c>
      <c r="G65" t="s">
        <v>9</v>
      </c>
      <c r="H65">
        <f t="shared" si="0"/>
        <v>4.05</v>
      </c>
      <c r="I65" t="str" cm="1">
        <f t="array" ref="I65">_xlfn.IFS(G65="MALE","Male",G65="FEMALE","Female",G65="NA","Unknown")</f>
        <v>Male</v>
      </c>
      <c r="J65" t="str" cm="1">
        <f t="array" ref="J65">_xlfn.IFS(H65&gt;=3.5,"Big",H65&lt;3.5,"Small")</f>
        <v>Big</v>
      </c>
    </row>
    <row r="66" spans="1:10">
      <c r="A66" t="s">
        <v>7</v>
      </c>
      <c r="B66" t="s">
        <v>12</v>
      </c>
      <c r="C66">
        <v>36.4</v>
      </c>
      <c r="D66">
        <v>17.1</v>
      </c>
      <c r="E66">
        <v>184</v>
      </c>
      <c r="F66">
        <v>2850</v>
      </c>
      <c r="G66" t="s">
        <v>10</v>
      </c>
      <c r="H66">
        <f t="shared" si="0"/>
        <v>2.85</v>
      </c>
      <c r="I66" t="str" cm="1">
        <f t="array" ref="I66">_xlfn.IFS(G66="MALE","Male",G66="FEMALE","Female",G66="NA","Unknown")</f>
        <v>Female</v>
      </c>
      <c r="J66" t="str" cm="1">
        <f t="array" ref="J66">_xlfn.IFS(H66&gt;=3.5,"Big",H66&lt;3.5,"Small")</f>
        <v>Small</v>
      </c>
    </row>
    <row r="67" spans="1:10">
      <c r="A67" t="s">
        <v>7</v>
      </c>
      <c r="B67" t="s">
        <v>12</v>
      </c>
      <c r="C67">
        <v>41.6</v>
      </c>
      <c r="D67">
        <v>18</v>
      </c>
      <c r="E67">
        <v>192</v>
      </c>
      <c r="F67">
        <v>3950</v>
      </c>
      <c r="G67" t="s">
        <v>9</v>
      </c>
      <c r="H67">
        <f t="shared" ref="H67:H130" si="1">F67/1000</f>
        <v>3.95</v>
      </c>
      <c r="I67" t="str" cm="1">
        <f t="array" ref="I67">_xlfn.IFS(G67="MALE","Male",G67="FEMALE","Female",G67="NA","Unknown")</f>
        <v>Male</v>
      </c>
      <c r="J67" t="str" cm="1">
        <f t="array" ref="J67">_xlfn.IFS(H67&gt;=3.5,"Big",H67&lt;3.5,"Small")</f>
        <v>Big</v>
      </c>
    </row>
    <row r="68" spans="1:10">
      <c r="A68" t="s">
        <v>7</v>
      </c>
      <c r="B68" t="s">
        <v>12</v>
      </c>
      <c r="C68">
        <v>35.5</v>
      </c>
      <c r="D68">
        <v>16.2</v>
      </c>
      <c r="E68">
        <v>195</v>
      </c>
      <c r="F68">
        <v>3350</v>
      </c>
      <c r="G68" t="s">
        <v>10</v>
      </c>
      <c r="H68">
        <f t="shared" si="1"/>
        <v>3.35</v>
      </c>
      <c r="I68" t="str" cm="1">
        <f t="array" ref="I68">_xlfn.IFS(G68="MALE","Male",G68="FEMALE","Female",G68="NA","Unknown")</f>
        <v>Female</v>
      </c>
      <c r="J68" t="str" cm="1">
        <f t="array" ref="J68">_xlfn.IFS(H68&gt;=3.5,"Big",H68&lt;3.5,"Small")</f>
        <v>Small</v>
      </c>
    </row>
    <row r="69" spans="1:10">
      <c r="A69" t="s">
        <v>7</v>
      </c>
      <c r="B69" t="s">
        <v>12</v>
      </c>
      <c r="C69">
        <v>41.1</v>
      </c>
      <c r="D69">
        <v>19.1</v>
      </c>
      <c r="E69">
        <v>188</v>
      </c>
      <c r="F69">
        <v>4100</v>
      </c>
      <c r="G69" t="s">
        <v>9</v>
      </c>
      <c r="H69">
        <f t="shared" si="1"/>
        <v>4.1</v>
      </c>
      <c r="I69" t="str" cm="1">
        <f t="array" ref="I69">_xlfn.IFS(G69="MALE","Male",G69="FEMALE","Female",G69="NA","Unknown")</f>
        <v>Male</v>
      </c>
      <c r="J69" t="str" cm="1">
        <f t="array" ref="J69">_xlfn.IFS(H69&gt;=3.5,"Big",H69&lt;3.5,"Small")</f>
        <v>Big</v>
      </c>
    </row>
    <row r="70" spans="1:10">
      <c r="A70" t="s">
        <v>7</v>
      </c>
      <c r="B70" t="s">
        <v>8</v>
      </c>
      <c r="C70">
        <v>35.9</v>
      </c>
      <c r="D70">
        <v>16.6</v>
      </c>
      <c r="E70">
        <v>190</v>
      </c>
      <c r="F70">
        <v>3050</v>
      </c>
      <c r="G70" t="s">
        <v>10</v>
      </c>
      <c r="H70">
        <f t="shared" si="1"/>
        <v>3.05</v>
      </c>
      <c r="I70" t="str" cm="1">
        <f t="array" ref="I70">_xlfn.IFS(G70="MALE","Male",G70="FEMALE","Female",G70="NA","Unknown")</f>
        <v>Female</v>
      </c>
      <c r="J70" t="str" cm="1">
        <f t="array" ref="J70">_xlfn.IFS(H70&gt;=3.5,"Big",H70&lt;3.5,"Small")</f>
        <v>Small</v>
      </c>
    </row>
    <row r="71" spans="1:10">
      <c r="A71" t="s">
        <v>7</v>
      </c>
      <c r="B71" t="s">
        <v>8</v>
      </c>
      <c r="C71">
        <v>41.8</v>
      </c>
      <c r="D71">
        <v>19.4</v>
      </c>
      <c r="E71">
        <v>198</v>
      </c>
      <c r="F71">
        <v>4450</v>
      </c>
      <c r="G71" t="s">
        <v>9</v>
      </c>
      <c r="H71">
        <f t="shared" si="1"/>
        <v>4.45</v>
      </c>
      <c r="I71" t="str" cm="1">
        <f t="array" ref="I71">_xlfn.IFS(G71="MALE","Male",G71="FEMALE","Female",G71="NA","Unknown")</f>
        <v>Male</v>
      </c>
      <c r="J71" t="str" cm="1">
        <f t="array" ref="J71">_xlfn.IFS(H71&gt;=3.5,"Big",H71&lt;3.5,"Small")</f>
        <v>Big</v>
      </c>
    </row>
    <row r="72" spans="1:10">
      <c r="A72" t="s">
        <v>7</v>
      </c>
      <c r="B72" t="s">
        <v>8</v>
      </c>
      <c r="C72">
        <v>33.5</v>
      </c>
      <c r="D72">
        <v>19</v>
      </c>
      <c r="E72">
        <v>190</v>
      </c>
      <c r="F72">
        <v>3600</v>
      </c>
      <c r="G72" t="s">
        <v>10</v>
      </c>
      <c r="H72">
        <f t="shared" si="1"/>
        <v>3.6</v>
      </c>
      <c r="I72" t="str" cm="1">
        <f t="array" ref="I72">_xlfn.IFS(G72="MALE","Male",G72="FEMALE","Female",G72="NA","Unknown")</f>
        <v>Female</v>
      </c>
      <c r="J72" t="str" cm="1">
        <f t="array" ref="J72">_xlfn.IFS(H72&gt;=3.5,"Big",H72&lt;3.5,"Small")</f>
        <v>Big</v>
      </c>
    </row>
    <row r="73" spans="1:10">
      <c r="A73" t="s">
        <v>7</v>
      </c>
      <c r="B73" t="s">
        <v>8</v>
      </c>
      <c r="C73">
        <v>39.7</v>
      </c>
      <c r="D73">
        <v>18.4</v>
      </c>
      <c r="E73">
        <v>190</v>
      </c>
      <c r="F73">
        <v>3900</v>
      </c>
      <c r="G73" t="s">
        <v>9</v>
      </c>
      <c r="H73">
        <f t="shared" si="1"/>
        <v>3.9</v>
      </c>
      <c r="I73" t="str" cm="1">
        <f t="array" ref="I73">_xlfn.IFS(G73="MALE","Male",G73="FEMALE","Female",G73="NA","Unknown")</f>
        <v>Male</v>
      </c>
      <c r="J73" t="str" cm="1">
        <f t="array" ref="J73">_xlfn.IFS(H73&gt;=3.5,"Big",H73&lt;3.5,"Small")</f>
        <v>Big</v>
      </c>
    </row>
    <row r="74" spans="1:10">
      <c r="A74" t="s">
        <v>7</v>
      </c>
      <c r="B74" t="s">
        <v>8</v>
      </c>
      <c r="C74">
        <v>39.6</v>
      </c>
      <c r="D74">
        <v>17.2</v>
      </c>
      <c r="E74">
        <v>196</v>
      </c>
      <c r="F74">
        <v>3550</v>
      </c>
      <c r="G74" t="s">
        <v>10</v>
      </c>
      <c r="H74">
        <f t="shared" si="1"/>
        <v>3.55</v>
      </c>
      <c r="I74" t="str" cm="1">
        <f t="array" ref="I74">_xlfn.IFS(G74="MALE","Male",G74="FEMALE","Female",G74="NA","Unknown")</f>
        <v>Female</v>
      </c>
      <c r="J74" t="str" cm="1">
        <f t="array" ref="J74">_xlfn.IFS(H74&gt;=3.5,"Big",H74&lt;3.5,"Small")</f>
        <v>Big</v>
      </c>
    </row>
    <row r="75" spans="1:10">
      <c r="A75" t="s">
        <v>7</v>
      </c>
      <c r="B75" t="s">
        <v>8</v>
      </c>
      <c r="C75">
        <v>45.8</v>
      </c>
      <c r="D75">
        <v>18.9</v>
      </c>
      <c r="E75">
        <v>197</v>
      </c>
      <c r="F75">
        <v>4150</v>
      </c>
      <c r="G75" t="s">
        <v>9</v>
      </c>
      <c r="H75">
        <f t="shared" si="1"/>
        <v>4.15</v>
      </c>
      <c r="I75" t="str" cm="1">
        <f t="array" ref="I75">_xlfn.IFS(G75="MALE","Male",G75="FEMALE","Female",G75="NA","Unknown")</f>
        <v>Male</v>
      </c>
      <c r="J75" t="str" cm="1">
        <f t="array" ref="J75">_xlfn.IFS(H75&gt;=3.5,"Big",H75&lt;3.5,"Small")</f>
        <v>Big</v>
      </c>
    </row>
    <row r="76" spans="1:10">
      <c r="A76" t="s">
        <v>7</v>
      </c>
      <c r="B76" t="s">
        <v>8</v>
      </c>
      <c r="C76">
        <v>35.5</v>
      </c>
      <c r="D76">
        <v>17.5</v>
      </c>
      <c r="E76">
        <v>190</v>
      </c>
      <c r="F76">
        <v>3700</v>
      </c>
      <c r="G76" t="s">
        <v>10</v>
      </c>
      <c r="H76">
        <f t="shared" si="1"/>
        <v>3.7</v>
      </c>
      <c r="I76" t="str" cm="1">
        <f t="array" ref="I76">_xlfn.IFS(G76="MALE","Male",G76="FEMALE","Female",G76="NA","Unknown")</f>
        <v>Female</v>
      </c>
      <c r="J76" t="str" cm="1">
        <f t="array" ref="J76">_xlfn.IFS(H76&gt;=3.5,"Big",H76&lt;3.5,"Small")</f>
        <v>Big</v>
      </c>
    </row>
    <row r="77" spans="1:10">
      <c r="A77" t="s">
        <v>7</v>
      </c>
      <c r="B77" t="s">
        <v>8</v>
      </c>
      <c r="C77">
        <v>42.8</v>
      </c>
      <c r="D77">
        <v>18.5</v>
      </c>
      <c r="E77">
        <v>195</v>
      </c>
      <c r="F77">
        <v>4250</v>
      </c>
      <c r="G77" t="s">
        <v>9</v>
      </c>
      <c r="H77">
        <f t="shared" si="1"/>
        <v>4.25</v>
      </c>
      <c r="I77" t="str" cm="1">
        <f t="array" ref="I77">_xlfn.IFS(G77="MALE","Male",G77="FEMALE","Female",G77="NA","Unknown")</f>
        <v>Male</v>
      </c>
      <c r="J77" t="str" cm="1">
        <f t="array" ref="J77">_xlfn.IFS(H77&gt;=3.5,"Big",H77&lt;3.5,"Small")</f>
        <v>Big</v>
      </c>
    </row>
    <row r="78" spans="1:10">
      <c r="A78" t="s">
        <v>7</v>
      </c>
      <c r="B78" t="s">
        <v>8</v>
      </c>
      <c r="C78">
        <v>40.9</v>
      </c>
      <c r="D78">
        <v>16.8</v>
      </c>
      <c r="E78">
        <v>191</v>
      </c>
      <c r="F78">
        <v>3700</v>
      </c>
      <c r="G78" t="s">
        <v>10</v>
      </c>
      <c r="H78">
        <f t="shared" si="1"/>
        <v>3.7</v>
      </c>
      <c r="I78" t="str" cm="1">
        <f t="array" ref="I78">_xlfn.IFS(G78="MALE","Male",G78="FEMALE","Female",G78="NA","Unknown")</f>
        <v>Female</v>
      </c>
      <c r="J78" t="str" cm="1">
        <f t="array" ref="J78">_xlfn.IFS(H78&gt;=3.5,"Big",H78&lt;3.5,"Small")</f>
        <v>Big</v>
      </c>
    </row>
    <row r="79" spans="1:10">
      <c r="A79" t="s">
        <v>7</v>
      </c>
      <c r="B79" t="s">
        <v>8</v>
      </c>
      <c r="C79">
        <v>37.2</v>
      </c>
      <c r="D79">
        <v>19.4</v>
      </c>
      <c r="E79">
        <v>184</v>
      </c>
      <c r="F79">
        <v>3900</v>
      </c>
      <c r="G79" t="s">
        <v>9</v>
      </c>
      <c r="H79">
        <f t="shared" si="1"/>
        <v>3.9</v>
      </c>
      <c r="I79" t="str" cm="1">
        <f t="array" ref="I79">_xlfn.IFS(G79="MALE","Male",G79="FEMALE","Female",G79="NA","Unknown")</f>
        <v>Male</v>
      </c>
      <c r="J79" t="str" cm="1">
        <f t="array" ref="J79">_xlfn.IFS(H79&gt;=3.5,"Big",H79&lt;3.5,"Small")</f>
        <v>Big</v>
      </c>
    </row>
    <row r="80" spans="1:10">
      <c r="A80" t="s">
        <v>7</v>
      </c>
      <c r="B80" t="s">
        <v>8</v>
      </c>
      <c r="C80">
        <v>36.2</v>
      </c>
      <c r="D80">
        <v>16.1</v>
      </c>
      <c r="E80">
        <v>187</v>
      </c>
      <c r="F80">
        <v>3550</v>
      </c>
      <c r="G80" t="s">
        <v>10</v>
      </c>
      <c r="H80">
        <f t="shared" si="1"/>
        <v>3.55</v>
      </c>
      <c r="I80" t="str" cm="1">
        <f t="array" ref="I80">_xlfn.IFS(G80="MALE","Male",G80="FEMALE","Female",G80="NA","Unknown")</f>
        <v>Female</v>
      </c>
      <c r="J80" t="str" cm="1">
        <f t="array" ref="J80">_xlfn.IFS(H80&gt;=3.5,"Big",H80&lt;3.5,"Small")</f>
        <v>Big</v>
      </c>
    </row>
    <row r="81" spans="1:10">
      <c r="A81" t="s">
        <v>7</v>
      </c>
      <c r="B81" t="s">
        <v>8</v>
      </c>
      <c r="C81">
        <v>42.1</v>
      </c>
      <c r="D81">
        <v>19.1</v>
      </c>
      <c r="E81">
        <v>195</v>
      </c>
      <c r="F81">
        <v>4000</v>
      </c>
      <c r="G81" t="s">
        <v>9</v>
      </c>
      <c r="H81">
        <f t="shared" si="1"/>
        <v>4</v>
      </c>
      <c r="I81" t="str" cm="1">
        <f t="array" ref="I81">_xlfn.IFS(G81="MALE","Male",G81="FEMALE","Female",G81="NA","Unknown")</f>
        <v>Male</v>
      </c>
      <c r="J81" t="str" cm="1">
        <f t="array" ref="J81">_xlfn.IFS(H81&gt;=3.5,"Big",H81&lt;3.5,"Small")</f>
        <v>Big</v>
      </c>
    </row>
    <row r="82" spans="1:10">
      <c r="A82" t="s">
        <v>7</v>
      </c>
      <c r="B82" t="s">
        <v>8</v>
      </c>
      <c r="C82">
        <v>34.6</v>
      </c>
      <c r="D82">
        <v>17.2</v>
      </c>
      <c r="E82">
        <v>189</v>
      </c>
      <c r="F82">
        <v>3200</v>
      </c>
      <c r="G82" t="s">
        <v>10</v>
      </c>
      <c r="H82">
        <f t="shared" si="1"/>
        <v>3.2</v>
      </c>
      <c r="I82" t="str" cm="1">
        <f t="array" ref="I82">_xlfn.IFS(G82="MALE","Male",G82="FEMALE","Female",G82="NA","Unknown")</f>
        <v>Female</v>
      </c>
      <c r="J82" t="str" cm="1">
        <f t="array" ref="J82">_xlfn.IFS(H82&gt;=3.5,"Big",H82&lt;3.5,"Small")</f>
        <v>Small</v>
      </c>
    </row>
    <row r="83" spans="1:10">
      <c r="A83" t="s">
        <v>7</v>
      </c>
      <c r="B83" t="s">
        <v>8</v>
      </c>
      <c r="C83">
        <v>42.9</v>
      </c>
      <c r="D83">
        <v>17.6</v>
      </c>
      <c r="E83">
        <v>196</v>
      </c>
      <c r="F83">
        <v>4700</v>
      </c>
      <c r="G83" t="s">
        <v>9</v>
      </c>
      <c r="H83">
        <f t="shared" si="1"/>
        <v>4.7</v>
      </c>
      <c r="I83" t="str" cm="1">
        <f t="array" ref="I83">_xlfn.IFS(G83="MALE","Male",G83="FEMALE","Female",G83="NA","Unknown")</f>
        <v>Male</v>
      </c>
      <c r="J83" t="str" cm="1">
        <f t="array" ref="J83">_xlfn.IFS(H83&gt;=3.5,"Big",H83&lt;3.5,"Small")</f>
        <v>Big</v>
      </c>
    </row>
    <row r="84" spans="1:10">
      <c r="A84" t="s">
        <v>7</v>
      </c>
      <c r="B84" t="s">
        <v>8</v>
      </c>
      <c r="C84">
        <v>36.7</v>
      </c>
      <c r="D84">
        <v>18.8</v>
      </c>
      <c r="E84">
        <v>187</v>
      </c>
      <c r="F84">
        <v>3800</v>
      </c>
      <c r="G84" t="s">
        <v>10</v>
      </c>
      <c r="H84">
        <f t="shared" si="1"/>
        <v>3.8</v>
      </c>
      <c r="I84" t="str" cm="1">
        <f t="array" ref="I84">_xlfn.IFS(G84="MALE","Male",G84="FEMALE","Female",G84="NA","Unknown")</f>
        <v>Female</v>
      </c>
      <c r="J84" t="str" cm="1">
        <f t="array" ref="J84">_xlfn.IFS(H84&gt;=3.5,"Big",H84&lt;3.5,"Small")</f>
        <v>Big</v>
      </c>
    </row>
    <row r="85" spans="1:10">
      <c r="A85" t="s">
        <v>7</v>
      </c>
      <c r="B85" t="s">
        <v>8</v>
      </c>
      <c r="C85">
        <v>35.1</v>
      </c>
      <c r="D85">
        <v>19.4</v>
      </c>
      <c r="E85">
        <v>193</v>
      </c>
      <c r="F85">
        <v>4200</v>
      </c>
      <c r="G85" t="s">
        <v>9</v>
      </c>
      <c r="H85">
        <f t="shared" si="1"/>
        <v>4.2</v>
      </c>
      <c r="I85" t="str" cm="1">
        <f t="array" ref="I85">_xlfn.IFS(G85="MALE","Male",G85="FEMALE","Female",G85="NA","Unknown")</f>
        <v>Male</v>
      </c>
      <c r="J85" t="str" cm="1">
        <f t="array" ref="J85">_xlfn.IFS(H85&gt;=3.5,"Big",H85&lt;3.5,"Small")</f>
        <v>Big</v>
      </c>
    </row>
    <row r="86" spans="1:10">
      <c r="A86" t="s">
        <v>7</v>
      </c>
      <c r="B86" t="s">
        <v>13</v>
      </c>
      <c r="C86">
        <v>37.3</v>
      </c>
      <c r="D86">
        <v>17.8</v>
      </c>
      <c r="E86">
        <v>191</v>
      </c>
      <c r="F86">
        <v>3350</v>
      </c>
      <c r="G86" t="s">
        <v>10</v>
      </c>
      <c r="H86">
        <f t="shared" si="1"/>
        <v>3.35</v>
      </c>
      <c r="I86" t="str" cm="1">
        <f t="array" ref="I86">_xlfn.IFS(G86="MALE","Male",G86="FEMALE","Female",G86="NA","Unknown")</f>
        <v>Female</v>
      </c>
      <c r="J86" t="str" cm="1">
        <f t="array" ref="J86">_xlfn.IFS(H86&gt;=3.5,"Big",H86&lt;3.5,"Small")</f>
        <v>Small</v>
      </c>
    </row>
    <row r="87" spans="1:10">
      <c r="A87" t="s">
        <v>7</v>
      </c>
      <c r="B87" t="s">
        <v>13</v>
      </c>
      <c r="C87">
        <v>41.3</v>
      </c>
      <c r="D87">
        <v>20.3</v>
      </c>
      <c r="E87">
        <v>194</v>
      </c>
      <c r="F87">
        <v>3550</v>
      </c>
      <c r="G87" t="s">
        <v>9</v>
      </c>
      <c r="H87">
        <f t="shared" si="1"/>
        <v>3.55</v>
      </c>
      <c r="I87" t="str" cm="1">
        <f t="array" ref="I87">_xlfn.IFS(G87="MALE","Male",G87="FEMALE","Female",G87="NA","Unknown")</f>
        <v>Male</v>
      </c>
      <c r="J87" t="str" cm="1">
        <f t="array" ref="J87">_xlfn.IFS(H87&gt;=3.5,"Big",H87&lt;3.5,"Small")</f>
        <v>Big</v>
      </c>
    </row>
    <row r="88" spans="1:10">
      <c r="A88" t="s">
        <v>7</v>
      </c>
      <c r="B88" t="s">
        <v>13</v>
      </c>
      <c r="C88">
        <v>36.3</v>
      </c>
      <c r="D88">
        <v>19.5</v>
      </c>
      <c r="E88">
        <v>190</v>
      </c>
      <c r="F88">
        <v>3800</v>
      </c>
      <c r="G88" t="s">
        <v>9</v>
      </c>
      <c r="H88">
        <f t="shared" si="1"/>
        <v>3.8</v>
      </c>
      <c r="I88" t="str" cm="1">
        <f t="array" ref="I88">_xlfn.IFS(G88="MALE","Male",G88="FEMALE","Female",G88="NA","Unknown")</f>
        <v>Male</v>
      </c>
      <c r="J88" t="str" cm="1">
        <f t="array" ref="J88">_xlfn.IFS(H88&gt;=3.5,"Big",H88&lt;3.5,"Small")</f>
        <v>Big</v>
      </c>
    </row>
    <row r="89" spans="1:10">
      <c r="A89" t="s">
        <v>7</v>
      </c>
      <c r="B89" t="s">
        <v>13</v>
      </c>
      <c r="C89">
        <v>36.9</v>
      </c>
      <c r="D89">
        <v>18.6</v>
      </c>
      <c r="E89">
        <v>189</v>
      </c>
      <c r="F89">
        <v>3500</v>
      </c>
      <c r="G89" t="s">
        <v>10</v>
      </c>
      <c r="H89">
        <f t="shared" si="1"/>
        <v>3.5</v>
      </c>
      <c r="I89" t="str" cm="1">
        <f t="array" ref="I89">_xlfn.IFS(G89="MALE","Male",G89="FEMALE","Female",G89="NA","Unknown")</f>
        <v>Female</v>
      </c>
      <c r="J89" t="str" cm="1">
        <f t="array" ref="J89">_xlfn.IFS(H89&gt;=3.5,"Big",H89&lt;3.5,"Small")</f>
        <v>Big</v>
      </c>
    </row>
    <row r="90" spans="1:10">
      <c r="A90" t="s">
        <v>7</v>
      </c>
      <c r="B90" t="s">
        <v>13</v>
      </c>
      <c r="C90">
        <v>38.3</v>
      </c>
      <c r="D90">
        <v>19.2</v>
      </c>
      <c r="E90">
        <v>189</v>
      </c>
      <c r="F90">
        <v>3950</v>
      </c>
      <c r="G90" t="s">
        <v>9</v>
      </c>
      <c r="H90">
        <f t="shared" si="1"/>
        <v>3.95</v>
      </c>
      <c r="I90" t="str" cm="1">
        <f t="array" ref="I90">_xlfn.IFS(G90="MALE","Male",G90="FEMALE","Female",G90="NA","Unknown")</f>
        <v>Male</v>
      </c>
      <c r="J90" t="str" cm="1">
        <f t="array" ref="J90">_xlfn.IFS(H90&gt;=3.5,"Big",H90&lt;3.5,"Small")</f>
        <v>Big</v>
      </c>
    </row>
    <row r="91" spans="1:10">
      <c r="A91" t="s">
        <v>7</v>
      </c>
      <c r="B91" t="s">
        <v>13</v>
      </c>
      <c r="C91">
        <v>38.9</v>
      </c>
      <c r="D91">
        <v>18.8</v>
      </c>
      <c r="E91">
        <v>190</v>
      </c>
      <c r="F91">
        <v>3600</v>
      </c>
      <c r="G91" t="s">
        <v>10</v>
      </c>
      <c r="H91">
        <f t="shared" si="1"/>
        <v>3.6</v>
      </c>
      <c r="I91" t="str" cm="1">
        <f t="array" ref="I91">_xlfn.IFS(G91="MALE","Male",G91="FEMALE","Female",G91="NA","Unknown")</f>
        <v>Female</v>
      </c>
      <c r="J91" t="str" cm="1">
        <f t="array" ref="J91">_xlfn.IFS(H91&gt;=3.5,"Big",H91&lt;3.5,"Small")</f>
        <v>Big</v>
      </c>
    </row>
    <row r="92" spans="1:10">
      <c r="A92" t="s">
        <v>7</v>
      </c>
      <c r="B92" t="s">
        <v>13</v>
      </c>
      <c r="C92">
        <v>35.7</v>
      </c>
      <c r="D92">
        <v>18</v>
      </c>
      <c r="E92">
        <v>202</v>
      </c>
      <c r="F92">
        <v>3550</v>
      </c>
      <c r="G92" t="s">
        <v>10</v>
      </c>
      <c r="H92">
        <f t="shared" si="1"/>
        <v>3.55</v>
      </c>
      <c r="I92" t="str" cm="1">
        <f t="array" ref="I92">_xlfn.IFS(G92="MALE","Male",G92="FEMALE","Female",G92="NA","Unknown")</f>
        <v>Female</v>
      </c>
      <c r="J92" t="str" cm="1">
        <f t="array" ref="J92">_xlfn.IFS(H92&gt;=3.5,"Big",H92&lt;3.5,"Small")</f>
        <v>Big</v>
      </c>
    </row>
    <row r="93" spans="1:10">
      <c r="A93" t="s">
        <v>7</v>
      </c>
      <c r="B93" t="s">
        <v>13</v>
      </c>
      <c r="C93">
        <v>41.1</v>
      </c>
      <c r="D93">
        <v>18.1</v>
      </c>
      <c r="E93">
        <v>205</v>
      </c>
      <c r="F93">
        <v>4300</v>
      </c>
      <c r="G93" t="s">
        <v>9</v>
      </c>
      <c r="H93">
        <f t="shared" si="1"/>
        <v>4.3</v>
      </c>
      <c r="I93" t="str" cm="1">
        <f t="array" ref="I93">_xlfn.IFS(G93="MALE","Male",G93="FEMALE","Female",G93="NA","Unknown")</f>
        <v>Male</v>
      </c>
      <c r="J93" t="str" cm="1">
        <f t="array" ref="J93">_xlfn.IFS(H93&gt;=3.5,"Big",H93&lt;3.5,"Small")</f>
        <v>Big</v>
      </c>
    </row>
    <row r="94" spans="1:10">
      <c r="A94" t="s">
        <v>7</v>
      </c>
      <c r="B94" t="s">
        <v>13</v>
      </c>
      <c r="C94">
        <v>34</v>
      </c>
      <c r="D94">
        <v>17.1</v>
      </c>
      <c r="E94">
        <v>185</v>
      </c>
      <c r="F94">
        <v>3400</v>
      </c>
      <c r="G94" t="s">
        <v>10</v>
      </c>
      <c r="H94">
        <f t="shared" si="1"/>
        <v>3.4</v>
      </c>
      <c r="I94" t="str" cm="1">
        <f t="array" ref="I94">_xlfn.IFS(G94="MALE","Male",G94="FEMALE","Female",G94="NA","Unknown")</f>
        <v>Female</v>
      </c>
      <c r="J94" t="str" cm="1">
        <f t="array" ref="J94">_xlfn.IFS(H94&gt;=3.5,"Big",H94&lt;3.5,"Small")</f>
        <v>Small</v>
      </c>
    </row>
    <row r="95" spans="1:10">
      <c r="A95" t="s">
        <v>7</v>
      </c>
      <c r="B95" t="s">
        <v>13</v>
      </c>
      <c r="C95">
        <v>39.6</v>
      </c>
      <c r="D95">
        <v>18.1</v>
      </c>
      <c r="E95">
        <v>186</v>
      </c>
      <c r="F95">
        <v>4450</v>
      </c>
      <c r="G95" t="s">
        <v>9</v>
      </c>
      <c r="H95">
        <f t="shared" si="1"/>
        <v>4.45</v>
      </c>
      <c r="I95" t="str" cm="1">
        <f t="array" ref="I95">_xlfn.IFS(G95="MALE","Male",G95="FEMALE","Female",G95="NA","Unknown")</f>
        <v>Male</v>
      </c>
      <c r="J95" t="str" cm="1">
        <f t="array" ref="J95">_xlfn.IFS(H95&gt;=3.5,"Big",H95&lt;3.5,"Small")</f>
        <v>Big</v>
      </c>
    </row>
    <row r="96" spans="1:10">
      <c r="A96" t="s">
        <v>7</v>
      </c>
      <c r="B96" t="s">
        <v>13</v>
      </c>
      <c r="C96">
        <v>36.2</v>
      </c>
      <c r="D96">
        <v>17.3</v>
      </c>
      <c r="E96">
        <v>187</v>
      </c>
      <c r="F96">
        <v>3300</v>
      </c>
      <c r="G96" t="s">
        <v>10</v>
      </c>
      <c r="H96">
        <f t="shared" si="1"/>
        <v>3.3</v>
      </c>
      <c r="I96" t="str" cm="1">
        <f t="array" ref="I96">_xlfn.IFS(G96="MALE","Male",G96="FEMALE","Female",G96="NA","Unknown")</f>
        <v>Female</v>
      </c>
      <c r="J96" t="str" cm="1">
        <f t="array" ref="J96">_xlfn.IFS(H96&gt;=3.5,"Big",H96&lt;3.5,"Small")</f>
        <v>Small</v>
      </c>
    </row>
    <row r="97" spans="1:10">
      <c r="A97" t="s">
        <v>7</v>
      </c>
      <c r="B97" t="s">
        <v>13</v>
      </c>
      <c r="C97">
        <v>40.8</v>
      </c>
      <c r="D97">
        <v>18.9</v>
      </c>
      <c r="E97">
        <v>208</v>
      </c>
      <c r="F97">
        <v>4300</v>
      </c>
      <c r="G97" t="s">
        <v>9</v>
      </c>
      <c r="H97">
        <f t="shared" si="1"/>
        <v>4.3</v>
      </c>
      <c r="I97" t="str" cm="1">
        <f t="array" ref="I97">_xlfn.IFS(G97="MALE","Male",G97="FEMALE","Female",G97="NA","Unknown")</f>
        <v>Male</v>
      </c>
      <c r="J97" t="str" cm="1">
        <f t="array" ref="J97">_xlfn.IFS(H97&gt;=3.5,"Big",H97&lt;3.5,"Small")</f>
        <v>Big</v>
      </c>
    </row>
    <row r="98" spans="1:10">
      <c r="A98" t="s">
        <v>7</v>
      </c>
      <c r="B98" t="s">
        <v>13</v>
      </c>
      <c r="C98">
        <v>38.1</v>
      </c>
      <c r="D98">
        <v>18.6</v>
      </c>
      <c r="E98">
        <v>190</v>
      </c>
      <c r="F98">
        <v>3700</v>
      </c>
      <c r="G98" t="s">
        <v>10</v>
      </c>
      <c r="H98">
        <f t="shared" si="1"/>
        <v>3.7</v>
      </c>
      <c r="I98" t="str" cm="1">
        <f t="array" ref="I98">_xlfn.IFS(G98="MALE","Male",G98="FEMALE","Female",G98="NA","Unknown")</f>
        <v>Female</v>
      </c>
      <c r="J98" t="str" cm="1">
        <f t="array" ref="J98">_xlfn.IFS(H98&gt;=3.5,"Big",H98&lt;3.5,"Small")</f>
        <v>Big</v>
      </c>
    </row>
    <row r="99" spans="1:10">
      <c r="A99" t="s">
        <v>7</v>
      </c>
      <c r="B99" t="s">
        <v>13</v>
      </c>
      <c r="C99">
        <v>40.3</v>
      </c>
      <c r="D99">
        <v>18.5</v>
      </c>
      <c r="E99">
        <v>196</v>
      </c>
      <c r="F99">
        <v>4350</v>
      </c>
      <c r="G99" t="s">
        <v>9</v>
      </c>
      <c r="H99">
        <f t="shared" si="1"/>
        <v>4.35</v>
      </c>
      <c r="I99" t="str" cm="1">
        <f t="array" ref="I99">_xlfn.IFS(G99="MALE","Male",G99="FEMALE","Female",G99="NA","Unknown")</f>
        <v>Male</v>
      </c>
      <c r="J99" t="str" cm="1">
        <f t="array" ref="J99">_xlfn.IFS(H99&gt;=3.5,"Big",H99&lt;3.5,"Small")</f>
        <v>Big</v>
      </c>
    </row>
    <row r="100" spans="1:10">
      <c r="A100" t="s">
        <v>7</v>
      </c>
      <c r="B100" t="s">
        <v>13</v>
      </c>
      <c r="C100">
        <v>33.1</v>
      </c>
      <c r="D100">
        <v>16.1</v>
      </c>
      <c r="E100">
        <v>178</v>
      </c>
      <c r="F100">
        <v>2900</v>
      </c>
      <c r="G100" t="s">
        <v>10</v>
      </c>
      <c r="H100">
        <f t="shared" si="1"/>
        <v>2.9</v>
      </c>
      <c r="I100" t="str" cm="1">
        <f t="array" ref="I100">_xlfn.IFS(G100="MALE","Male",G100="FEMALE","Female",G100="NA","Unknown")</f>
        <v>Female</v>
      </c>
      <c r="J100" t="str" cm="1">
        <f t="array" ref="J100">_xlfn.IFS(H100&gt;=3.5,"Big",H100&lt;3.5,"Small")</f>
        <v>Small</v>
      </c>
    </row>
    <row r="101" spans="1:10">
      <c r="A101" t="s">
        <v>7</v>
      </c>
      <c r="B101" t="s">
        <v>13</v>
      </c>
      <c r="C101">
        <v>43.2</v>
      </c>
      <c r="D101">
        <v>18.5</v>
      </c>
      <c r="E101">
        <v>192</v>
      </c>
      <c r="F101">
        <v>4100</v>
      </c>
      <c r="G101" t="s">
        <v>9</v>
      </c>
      <c r="H101">
        <f t="shared" si="1"/>
        <v>4.1</v>
      </c>
      <c r="I101" t="str" cm="1">
        <f t="array" ref="I101">_xlfn.IFS(G101="MALE","Male",G101="FEMALE","Female",G101="NA","Unknown")</f>
        <v>Male</v>
      </c>
      <c r="J101" t="str" cm="1">
        <f t="array" ref="J101">_xlfn.IFS(H101&gt;=3.5,"Big",H101&lt;3.5,"Small")</f>
        <v>Big</v>
      </c>
    </row>
    <row r="102" spans="1:10">
      <c r="A102" t="s">
        <v>7</v>
      </c>
      <c r="B102" t="s">
        <v>12</v>
      </c>
      <c r="C102">
        <v>35</v>
      </c>
      <c r="D102">
        <v>17.9</v>
      </c>
      <c r="E102">
        <v>192</v>
      </c>
      <c r="F102">
        <v>3725</v>
      </c>
      <c r="G102" t="s">
        <v>10</v>
      </c>
      <c r="H102">
        <f t="shared" si="1"/>
        <v>3.725</v>
      </c>
      <c r="I102" t="str" cm="1">
        <f t="array" ref="I102">_xlfn.IFS(G102="MALE","Male",G102="FEMALE","Female",G102="NA","Unknown")</f>
        <v>Female</v>
      </c>
      <c r="J102" t="str" cm="1">
        <f t="array" ref="J102">_xlfn.IFS(H102&gt;=3.5,"Big",H102&lt;3.5,"Small")</f>
        <v>Big</v>
      </c>
    </row>
    <row r="103" spans="1:10">
      <c r="A103" t="s">
        <v>7</v>
      </c>
      <c r="B103" t="s">
        <v>12</v>
      </c>
      <c r="C103">
        <v>41</v>
      </c>
      <c r="D103">
        <v>20</v>
      </c>
      <c r="E103">
        <v>203</v>
      </c>
      <c r="F103">
        <v>4725</v>
      </c>
      <c r="G103" t="s">
        <v>9</v>
      </c>
      <c r="H103">
        <f t="shared" si="1"/>
        <v>4.725</v>
      </c>
      <c r="I103" t="str" cm="1">
        <f t="array" ref="I103">_xlfn.IFS(G103="MALE","Male",G103="FEMALE","Female",G103="NA","Unknown")</f>
        <v>Male</v>
      </c>
      <c r="J103" t="str" cm="1">
        <f t="array" ref="J103">_xlfn.IFS(H103&gt;=3.5,"Big",H103&lt;3.5,"Small")</f>
        <v>Big</v>
      </c>
    </row>
    <row r="104" spans="1:10">
      <c r="A104" t="s">
        <v>7</v>
      </c>
      <c r="B104" t="s">
        <v>12</v>
      </c>
      <c r="C104">
        <v>37.7</v>
      </c>
      <c r="D104">
        <v>16</v>
      </c>
      <c r="E104">
        <v>183</v>
      </c>
      <c r="F104">
        <v>3075</v>
      </c>
      <c r="G104" t="s">
        <v>10</v>
      </c>
      <c r="H104">
        <f t="shared" si="1"/>
        <v>3.075</v>
      </c>
      <c r="I104" t="str" cm="1">
        <f t="array" ref="I104">_xlfn.IFS(G104="MALE","Male",G104="FEMALE","Female",G104="NA","Unknown")</f>
        <v>Female</v>
      </c>
      <c r="J104" t="str" cm="1">
        <f t="array" ref="J104">_xlfn.IFS(H104&gt;=3.5,"Big",H104&lt;3.5,"Small")</f>
        <v>Small</v>
      </c>
    </row>
    <row r="105" spans="1:10">
      <c r="A105" t="s">
        <v>7</v>
      </c>
      <c r="B105" t="s">
        <v>12</v>
      </c>
      <c r="C105">
        <v>37.8</v>
      </c>
      <c r="D105">
        <v>20</v>
      </c>
      <c r="E105">
        <v>190</v>
      </c>
      <c r="F105">
        <v>4250</v>
      </c>
      <c r="G105" t="s">
        <v>9</v>
      </c>
      <c r="H105">
        <f t="shared" si="1"/>
        <v>4.25</v>
      </c>
      <c r="I105" t="str" cm="1">
        <f t="array" ref="I105">_xlfn.IFS(G105="MALE","Male",G105="FEMALE","Female",G105="NA","Unknown")</f>
        <v>Male</v>
      </c>
      <c r="J105" t="str" cm="1">
        <f t="array" ref="J105">_xlfn.IFS(H105&gt;=3.5,"Big",H105&lt;3.5,"Small")</f>
        <v>Big</v>
      </c>
    </row>
    <row r="106" spans="1:10">
      <c r="A106" t="s">
        <v>7</v>
      </c>
      <c r="B106" t="s">
        <v>12</v>
      </c>
      <c r="C106">
        <v>37.9</v>
      </c>
      <c r="D106">
        <v>18.6</v>
      </c>
      <c r="E106">
        <v>193</v>
      </c>
      <c r="F106">
        <v>2925</v>
      </c>
      <c r="G106" t="s">
        <v>10</v>
      </c>
      <c r="H106">
        <f t="shared" si="1"/>
        <v>2.925</v>
      </c>
      <c r="I106" t="str" cm="1">
        <f t="array" ref="I106">_xlfn.IFS(G106="MALE","Male",G106="FEMALE","Female",G106="NA","Unknown")</f>
        <v>Female</v>
      </c>
      <c r="J106" t="str" cm="1">
        <f t="array" ref="J106">_xlfn.IFS(H106&gt;=3.5,"Big",H106&lt;3.5,"Small")</f>
        <v>Small</v>
      </c>
    </row>
    <row r="107" spans="1:10">
      <c r="A107" t="s">
        <v>7</v>
      </c>
      <c r="B107" t="s">
        <v>12</v>
      </c>
      <c r="C107">
        <v>39.7</v>
      </c>
      <c r="D107">
        <v>18.9</v>
      </c>
      <c r="E107">
        <v>184</v>
      </c>
      <c r="F107">
        <v>3550</v>
      </c>
      <c r="G107" t="s">
        <v>9</v>
      </c>
      <c r="H107">
        <f t="shared" si="1"/>
        <v>3.55</v>
      </c>
      <c r="I107" t="str" cm="1">
        <f t="array" ref="I107">_xlfn.IFS(G107="MALE","Male",G107="FEMALE","Female",G107="NA","Unknown")</f>
        <v>Male</v>
      </c>
      <c r="J107" t="str" cm="1">
        <f t="array" ref="J107">_xlfn.IFS(H107&gt;=3.5,"Big",H107&lt;3.5,"Small")</f>
        <v>Big</v>
      </c>
    </row>
    <row r="108" spans="1:10">
      <c r="A108" t="s">
        <v>7</v>
      </c>
      <c r="B108" t="s">
        <v>12</v>
      </c>
      <c r="C108">
        <v>38.6</v>
      </c>
      <c r="D108">
        <v>17.2</v>
      </c>
      <c r="E108">
        <v>199</v>
      </c>
      <c r="F108">
        <v>3750</v>
      </c>
      <c r="G108" t="s">
        <v>10</v>
      </c>
      <c r="H108">
        <f t="shared" si="1"/>
        <v>3.75</v>
      </c>
      <c r="I108" t="str" cm="1">
        <f t="array" ref="I108">_xlfn.IFS(G108="MALE","Male",G108="FEMALE","Female",G108="NA","Unknown")</f>
        <v>Female</v>
      </c>
      <c r="J108" t="str" cm="1">
        <f t="array" ref="J108">_xlfn.IFS(H108&gt;=3.5,"Big",H108&lt;3.5,"Small")</f>
        <v>Big</v>
      </c>
    </row>
    <row r="109" spans="1:10">
      <c r="A109" t="s">
        <v>7</v>
      </c>
      <c r="B109" t="s">
        <v>12</v>
      </c>
      <c r="C109">
        <v>38.2</v>
      </c>
      <c r="D109">
        <v>20</v>
      </c>
      <c r="E109">
        <v>190</v>
      </c>
      <c r="F109">
        <v>3900</v>
      </c>
      <c r="G109" t="s">
        <v>9</v>
      </c>
      <c r="H109">
        <f t="shared" si="1"/>
        <v>3.9</v>
      </c>
      <c r="I109" t="str" cm="1">
        <f t="array" ref="I109">_xlfn.IFS(G109="MALE","Male",G109="FEMALE","Female",G109="NA","Unknown")</f>
        <v>Male</v>
      </c>
      <c r="J109" t="str" cm="1">
        <f t="array" ref="J109">_xlfn.IFS(H109&gt;=3.5,"Big",H109&lt;3.5,"Small")</f>
        <v>Big</v>
      </c>
    </row>
    <row r="110" spans="1:10">
      <c r="A110" t="s">
        <v>7</v>
      </c>
      <c r="B110" t="s">
        <v>12</v>
      </c>
      <c r="C110">
        <v>38.1</v>
      </c>
      <c r="D110">
        <v>17</v>
      </c>
      <c r="E110">
        <v>181</v>
      </c>
      <c r="F110">
        <v>3175</v>
      </c>
      <c r="G110" t="s">
        <v>10</v>
      </c>
      <c r="H110">
        <f t="shared" si="1"/>
        <v>3.175</v>
      </c>
      <c r="I110" t="str" cm="1">
        <f t="array" ref="I110">_xlfn.IFS(G110="MALE","Male",G110="FEMALE","Female",G110="NA","Unknown")</f>
        <v>Female</v>
      </c>
      <c r="J110" t="str" cm="1">
        <f t="array" ref="J110">_xlfn.IFS(H110&gt;=3.5,"Big",H110&lt;3.5,"Small")</f>
        <v>Small</v>
      </c>
    </row>
    <row r="111" spans="1:10">
      <c r="A111" t="s">
        <v>7</v>
      </c>
      <c r="B111" t="s">
        <v>12</v>
      </c>
      <c r="C111">
        <v>43.2</v>
      </c>
      <c r="D111">
        <v>19</v>
      </c>
      <c r="E111">
        <v>197</v>
      </c>
      <c r="F111">
        <v>4775</v>
      </c>
      <c r="G111" t="s">
        <v>9</v>
      </c>
      <c r="H111">
        <f t="shared" si="1"/>
        <v>4.775</v>
      </c>
      <c r="I111" t="str" cm="1">
        <f t="array" ref="I111">_xlfn.IFS(G111="MALE","Male",G111="FEMALE","Female",G111="NA","Unknown")</f>
        <v>Male</v>
      </c>
      <c r="J111" t="str" cm="1">
        <f t="array" ref="J111">_xlfn.IFS(H111&gt;=3.5,"Big",H111&lt;3.5,"Small")</f>
        <v>Big</v>
      </c>
    </row>
    <row r="112" spans="1:10">
      <c r="A112" t="s">
        <v>7</v>
      </c>
      <c r="B112" t="s">
        <v>12</v>
      </c>
      <c r="C112">
        <v>38.1</v>
      </c>
      <c r="D112">
        <v>16.5</v>
      </c>
      <c r="E112">
        <v>198</v>
      </c>
      <c r="F112">
        <v>3825</v>
      </c>
      <c r="G112" t="s">
        <v>10</v>
      </c>
      <c r="H112">
        <f t="shared" si="1"/>
        <v>3.825</v>
      </c>
      <c r="I112" t="str" cm="1">
        <f t="array" ref="I112">_xlfn.IFS(G112="MALE","Male",G112="FEMALE","Female",G112="NA","Unknown")</f>
        <v>Female</v>
      </c>
      <c r="J112" t="str" cm="1">
        <f t="array" ref="J112">_xlfn.IFS(H112&gt;=3.5,"Big",H112&lt;3.5,"Small")</f>
        <v>Big</v>
      </c>
    </row>
    <row r="113" spans="1:10">
      <c r="A113" t="s">
        <v>7</v>
      </c>
      <c r="B113" t="s">
        <v>12</v>
      </c>
      <c r="C113">
        <v>45.6</v>
      </c>
      <c r="D113">
        <v>20.3</v>
      </c>
      <c r="E113">
        <v>191</v>
      </c>
      <c r="F113">
        <v>4600</v>
      </c>
      <c r="G113" t="s">
        <v>9</v>
      </c>
      <c r="H113">
        <f t="shared" si="1"/>
        <v>4.6</v>
      </c>
      <c r="I113" t="str" cm="1">
        <f t="array" ref="I113">_xlfn.IFS(G113="MALE","Male",G113="FEMALE","Female",G113="NA","Unknown")</f>
        <v>Male</v>
      </c>
      <c r="J113" t="str" cm="1">
        <f t="array" ref="J113">_xlfn.IFS(H113&gt;=3.5,"Big",H113&lt;3.5,"Small")</f>
        <v>Big</v>
      </c>
    </row>
    <row r="114" spans="1:10">
      <c r="A114" t="s">
        <v>7</v>
      </c>
      <c r="B114" t="s">
        <v>12</v>
      </c>
      <c r="C114">
        <v>39.7</v>
      </c>
      <c r="D114">
        <v>17.7</v>
      </c>
      <c r="E114">
        <v>193</v>
      </c>
      <c r="F114">
        <v>3200</v>
      </c>
      <c r="G114" t="s">
        <v>10</v>
      </c>
      <c r="H114">
        <f t="shared" si="1"/>
        <v>3.2</v>
      </c>
      <c r="I114" t="str" cm="1">
        <f t="array" ref="I114">_xlfn.IFS(G114="MALE","Male",G114="FEMALE","Female",G114="NA","Unknown")</f>
        <v>Female</v>
      </c>
      <c r="J114" t="str" cm="1">
        <f t="array" ref="J114">_xlfn.IFS(H114&gt;=3.5,"Big",H114&lt;3.5,"Small")</f>
        <v>Small</v>
      </c>
    </row>
    <row r="115" spans="1:10">
      <c r="A115" t="s">
        <v>7</v>
      </c>
      <c r="B115" t="s">
        <v>12</v>
      </c>
      <c r="C115">
        <v>42.2</v>
      </c>
      <c r="D115">
        <v>19.5</v>
      </c>
      <c r="E115">
        <v>197</v>
      </c>
      <c r="F115">
        <v>4275</v>
      </c>
      <c r="G115" t="s">
        <v>9</v>
      </c>
      <c r="H115">
        <f t="shared" si="1"/>
        <v>4.275</v>
      </c>
      <c r="I115" t="str" cm="1">
        <f t="array" ref="I115">_xlfn.IFS(G115="MALE","Male",G115="FEMALE","Female",G115="NA","Unknown")</f>
        <v>Male</v>
      </c>
      <c r="J115" t="str" cm="1">
        <f t="array" ref="J115">_xlfn.IFS(H115&gt;=3.5,"Big",H115&lt;3.5,"Small")</f>
        <v>Big</v>
      </c>
    </row>
    <row r="116" spans="1:10">
      <c r="A116" t="s">
        <v>7</v>
      </c>
      <c r="B116" t="s">
        <v>12</v>
      </c>
      <c r="C116">
        <v>39.6</v>
      </c>
      <c r="D116">
        <v>20.7</v>
      </c>
      <c r="E116">
        <v>191</v>
      </c>
      <c r="F116">
        <v>3900</v>
      </c>
      <c r="G116" t="s">
        <v>10</v>
      </c>
      <c r="H116">
        <f t="shared" si="1"/>
        <v>3.9</v>
      </c>
      <c r="I116" t="str" cm="1">
        <f t="array" ref="I116">_xlfn.IFS(G116="MALE","Male",G116="FEMALE","Female",G116="NA","Unknown")</f>
        <v>Female</v>
      </c>
      <c r="J116" t="str" cm="1">
        <f t="array" ref="J116">_xlfn.IFS(H116&gt;=3.5,"Big",H116&lt;3.5,"Small")</f>
        <v>Big</v>
      </c>
    </row>
    <row r="117" spans="1:10">
      <c r="A117" t="s">
        <v>7</v>
      </c>
      <c r="B117" t="s">
        <v>12</v>
      </c>
      <c r="C117">
        <v>42.7</v>
      </c>
      <c r="D117">
        <v>18.3</v>
      </c>
      <c r="E117">
        <v>196</v>
      </c>
      <c r="F117">
        <v>4075</v>
      </c>
      <c r="G117" t="s">
        <v>9</v>
      </c>
      <c r="H117">
        <f t="shared" si="1"/>
        <v>4.075</v>
      </c>
      <c r="I117" t="str" cm="1">
        <f t="array" ref="I117">_xlfn.IFS(G117="MALE","Male",G117="FEMALE","Female",G117="NA","Unknown")</f>
        <v>Male</v>
      </c>
      <c r="J117" t="str" cm="1">
        <f t="array" ref="J117">_xlfn.IFS(H117&gt;=3.5,"Big",H117&lt;3.5,"Small")</f>
        <v>Big</v>
      </c>
    </row>
    <row r="118" spans="1:10">
      <c r="A118" t="s">
        <v>7</v>
      </c>
      <c r="B118" t="s">
        <v>8</v>
      </c>
      <c r="C118">
        <v>38.6</v>
      </c>
      <c r="D118">
        <v>17</v>
      </c>
      <c r="E118">
        <v>188</v>
      </c>
      <c r="F118">
        <v>2900</v>
      </c>
      <c r="G118" t="s">
        <v>10</v>
      </c>
      <c r="H118">
        <f t="shared" si="1"/>
        <v>2.9</v>
      </c>
      <c r="I118" t="str" cm="1">
        <f t="array" ref="I118">_xlfn.IFS(G118="MALE","Male",G118="FEMALE","Female",G118="NA","Unknown")</f>
        <v>Female</v>
      </c>
      <c r="J118" t="str" cm="1">
        <f t="array" ref="J118">_xlfn.IFS(H118&gt;=3.5,"Big",H118&lt;3.5,"Small")</f>
        <v>Small</v>
      </c>
    </row>
    <row r="119" spans="1:10">
      <c r="A119" t="s">
        <v>7</v>
      </c>
      <c r="B119" t="s">
        <v>8</v>
      </c>
      <c r="C119">
        <v>37.3</v>
      </c>
      <c r="D119">
        <v>20.5</v>
      </c>
      <c r="E119">
        <v>199</v>
      </c>
      <c r="F119">
        <v>3775</v>
      </c>
      <c r="G119" t="s">
        <v>9</v>
      </c>
      <c r="H119">
        <f t="shared" si="1"/>
        <v>3.775</v>
      </c>
      <c r="I119" t="str" cm="1">
        <f t="array" ref="I119">_xlfn.IFS(G119="MALE","Male",G119="FEMALE","Female",G119="NA","Unknown")</f>
        <v>Male</v>
      </c>
      <c r="J119" t="str" cm="1">
        <f t="array" ref="J119">_xlfn.IFS(H119&gt;=3.5,"Big",H119&lt;3.5,"Small")</f>
        <v>Big</v>
      </c>
    </row>
    <row r="120" spans="1:10">
      <c r="A120" t="s">
        <v>7</v>
      </c>
      <c r="B120" t="s">
        <v>8</v>
      </c>
      <c r="C120">
        <v>35.7</v>
      </c>
      <c r="D120">
        <v>17</v>
      </c>
      <c r="E120">
        <v>189</v>
      </c>
      <c r="F120">
        <v>3350</v>
      </c>
      <c r="G120" t="s">
        <v>10</v>
      </c>
      <c r="H120">
        <f t="shared" si="1"/>
        <v>3.35</v>
      </c>
      <c r="I120" t="str" cm="1">
        <f t="array" ref="I120">_xlfn.IFS(G120="MALE","Male",G120="FEMALE","Female",G120="NA","Unknown")</f>
        <v>Female</v>
      </c>
      <c r="J120" t="str" cm="1">
        <f t="array" ref="J120">_xlfn.IFS(H120&gt;=3.5,"Big",H120&lt;3.5,"Small")</f>
        <v>Small</v>
      </c>
    </row>
    <row r="121" spans="1:10">
      <c r="A121" t="s">
        <v>7</v>
      </c>
      <c r="B121" t="s">
        <v>8</v>
      </c>
      <c r="C121">
        <v>41.1</v>
      </c>
      <c r="D121">
        <v>18.6</v>
      </c>
      <c r="E121">
        <v>189</v>
      </c>
      <c r="F121">
        <v>3325</v>
      </c>
      <c r="G121" t="s">
        <v>9</v>
      </c>
      <c r="H121">
        <f t="shared" si="1"/>
        <v>3.325</v>
      </c>
      <c r="I121" t="str" cm="1">
        <f t="array" ref="I121">_xlfn.IFS(G121="MALE","Male",G121="FEMALE","Female",G121="NA","Unknown")</f>
        <v>Male</v>
      </c>
      <c r="J121" t="str" cm="1">
        <f t="array" ref="J121">_xlfn.IFS(H121&gt;=3.5,"Big",H121&lt;3.5,"Small")</f>
        <v>Small</v>
      </c>
    </row>
    <row r="122" spans="1:10">
      <c r="A122" t="s">
        <v>7</v>
      </c>
      <c r="B122" t="s">
        <v>8</v>
      </c>
      <c r="C122">
        <v>36.2</v>
      </c>
      <c r="D122">
        <v>17.2</v>
      </c>
      <c r="E122">
        <v>187</v>
      </c>
      <c r="F122">
        <v>3150</v>
      </c>
      <c r="G122" t="s">
        <v>10</v>
      </c>
      <c r="H122">
        <f t="shared" si="1"/>
        <v>3.15</v>
      </c>
      <c r="I122" t="str" cm="1">
        <f t="array" ref="I122">_xlfn.IFS(G122="MALE","Male",G122="FEMALE","Female",G122="NA","Unknown")</f>
        <v>Female</v>
      </c>
      <c r="J122" t="str" cm="1">
        <f t="array" ref="J122">_xlfn.IFS(H122&gt;=3.5,"Big",H122&lt;3.5,"Small")</f>
        <v>Small</v>
      </c>
    </row>
    <row r="123" spans="1:10">
      <c r="A123" t="s">
        <v>7</v>
      </c>
      <c r="B123" t="s">
        <v>8</v>
      </c>
      <c r="C123">
        <v>37.7</v>
      </c>
      <c r="D123">
        <v>19.8</v>
      </c>
      <c r="E123">
        <v>198</v>
      </c>
      <c r="F123">
        <v>3500</v>
      </c>
      <c r="G123" t="s">
        <v>9</v>
      </c>
      <c r="H123">
        <f t="shared" si="1"/>
        <v>3.5</v>
      </c>
      <c r="I123" t="str" cm="1">
        <f t="array" ref="I123">_xlfn.IFS(G123="MALE","Male",G123="FEMALE","Female",G123="NA","Unknown")</f>
        <v>Male</v>
      </c>
      <c r="J123" t="str" cm="1">
        <f t="array" ref="J123">_xlfn.IFS(H123&gt;=3.5,"Big",H123&lt;3.5,"Small")</f>
        <v>Big</v>
      </c>
    </row>
    <row r="124" spans="1:10">
      <c r="A124" t="s">
        <v>7</v>
      </c>
      <c r="B124" t="s">
        <v>8</v>
      </c>
      <c r="C124">
        <v>40.2</v>
      </c>
      <c r="D124">
        <v>17</v>
      </c>
      <c r="E124">
        <v>176</v>
      </c>
      <c r="F124">
        <v>3450</v>
      </c>
      <c r="G124" t="s">
        <v>10</v>
      </c>
      <c r="H124">
        <f t="shared" si="1"/>
        <v>3.45</v>
      </c>
      <c r="I124" t="str" cm="1">
        <f t="array" ref="I124">_xlfn.IFS(G124="MALE","Male",G124="FEMALE","Female",G124="NA","Unknown")</f>
        <v>Female</v>
      </c>
      <c r="J124" t="str" cm="1">
        <f t="array" ref="J124">_xlfn.IFS(H124&gt;=3.5,"Big",H124&lt;3.5,"Small")</f>
        <v>Small</v>
      </c>
    </row>
    <row r="125" spans="1:10">
      <c r="A125" t="s">
        <v>7</v>
      </c>
      <c r="B125" t="s">
        <v>8</v>
      </c>
      <c r="C125">
        <v>41.4</v>
      </c>
      <c r="D125">
        <v>18.5</v>
      </c>
      <c r="E125">
        <v>202</v>
      </c>
      <c r="F125">
        <v>3875</v>
      </c>
      <c r="G125" t="s">
        <v>9</v>
      </c>
      <c r="H125">
        <f t="shared" si="1"/>
        <v>3.875</v>
      </c>
      <c r="I125" t="str" cm="1">
        <f t="array" ref="I125">_xlfn.IFS(G125="MALE","Male",G125="FEMALE","Female",G125="NA","Unknown")</f>
        <v>Male</v>
      </c>
      <c r="J125" t="str" cm="1">
        <f t="array" ref="J125">_xlfn.IFS(H125&gt;=3.5,"Big",H125&lt;3.5,"Small")</f>
        <v>Big</v>
      </c>
    </row>
    <row r="126" spans="1:10">
      <c r="A126" t="s">
        <v>7</v>
      </c>
      <c r="B126" t="s">
        <v>8</v>
      </c>
      <c r="C126">
        <v>35.2</v>
      </c>
      <c r="D126">
        <v>15.9</v>
      </c>
      <c r="E126">
        <v>186</v>
      </c>
      <c r="F126">
        <v>3050</v>
      </c>
      <c r="G126" t="s">
        <v>10</v>
      </c>
      <c r="H126">
        <f t="shared" si="1"/>
        <v>3.05</v>
      </c>
      <c r="I126" t="str" cm="1">
        <f t="array" ref="I126">_xlfn.IFS(G126="MALE","Male",G126="FEMALE","Female",G126="NA","Unknown")</f>
        <v>Female</v>
      </c>
      <c r="J126" t="str" cm="1">
        <f t="array" ref="J126">_xlfn.IFS(H126&gt;=3.5,"Big",H126&lt;3.5,"Small")</f>
        <v>Small</v>
      </c>
    </row>
    <row r="127" spans="1:10">
      <c r="A127" t="s">
        <v>7</v>
      </c>
      <c r="B127" t="s">
        <v>8</v>
      </c>
      <c r="C127">
        <v>40.6</v>
      </c>
      <c r="D127">
        <v>19</v>
      </c>
      <c r="E127">
        <v>199</v>
      </c>
      <c r="F127">
        <v>4000</v>
      </c>
      <c r="G127" t="s">
        <v>9</v>
      </c>
      <c r="H127">
        <f t="shared" si="1"/>
        <v>4</v>
      </c>
      <c r="I127" t="str" cm="1">
        <f t="array" ref="I127">_xlfn.IFS(G127="MALE","Male",G127="FEMALE","Female",G127="NA","Unknown")</f>
        <v>Male</v>
      </c>
      <c r="J127" t="str" cm="1">
        <f t="array" ref="J127">_xlfn.IFS(H127&gt;=3.5,"Big",H127&lt;3.5,"Small")</f>
        <v>Big</v>
      </c>
    </row>
    <row r="128" spans="1:10">
      <c r="A128" t="s">
        <v>7</v>
      </c>
      <c r="B128" t="s">
        <v>8</v>
      </c>
      <c r="C128">
        <v>38.8</v>
      </c>
      <c r="D128">
        <v>17.6</v>
      </c>
      <c r="E128">
        <v>191</v>
      </c>
      <c r="F128">
        <v>3275</v>
      </c>
      <c r="G128" t="s">
        <v>10</v>
      </c>
      <c r="H128">
        <f t="shared" si="1"/>
        <v>3.275</v>
      </c>
      <c r="I128" t="str" cm="1">
        <f t="array" ref="I128">_xlfn.IFS(G128="MALE","Male",G128="FEMALE","Female",G128="NA","Unknown")</f>
        <v>Female</v>
      </c>
      <c r="J128" t="str" cm="1">
        <f t="array" ref="J128">_xlfn.IFS(H128&gt;=3.5,"Big",H128&lt;3.5,"Small")</f>
        <v>Small</v>
      </c>
    </row>
    <row r="129" spans="1:10">
      <c r="A129" t="s">
        <v>7</v>
      </c>
      <c r="B129" t="s">
        <v>8</v>
      </c>
      <c r="C129">
        <v>41.5</v>
      </c>
      <c r="D129">
        <v>18.3</v>
      </c>
      <c r="E129">
        <v>195</v>
      </c>
      <c r="F129">
        <v>4300</v>
      </c>
      <c r="G129" t="s">
        <v>9</v>
      </c>
      <c r="H129">
        <f t="shared" si="1"/>
        <v>4.3</v>
      </c>
      <c r="I129" t="str" cm="1">
        <f t="array" ref="I129">_xlfn.IFS(G129="MALE","Male",G129="FEMALE","Female",G129="NA","Unknown")</f>
        <v>Male</v>
      </c>
      <c r="J129" t="str" cm="1">
        <f t="array" ref="J129">_xlfn.IFS(H129&gt;=3.5,"Big",H129&lt;3.5,"Small")</f>
        <v>Big</v>
      </c>
    </row>
    <row r="130" spans="1:10">
      <c r="A130" t="s">
        <v>7</v>
      </c>
      <c r="B130" t="s">
        <v>8</v>
      </c>
      <c r="C130">
        <v>39</v>
      </c>
      <c r="D130">
        <v>17.1</v>
      </c>
      <c r="E130">
        <v>191</v>
      </c>
      <c r="F130">
        <v>3050</v>
      </c>
      <c r="G130" t="s">
        <v>10</v>
      </c>
      <c r="H130">
        <f t="shared" si="1"/>
        <v>3.05</v>
      </c>
      <c r="I130" t="str" cm="1">
        <f t="array" ref="I130">_xlfn.IFS(G130="MALE","Male",G130="FEMALE","Female",G130="NA","Unknown")</f>
        <v>Female</v>
      </c>
      <c r="J130" t="str" cm="1">
        <f t="array" ref="J130">_xlfn.IFS(H130&gt;=3.5,"Big",H130&lt;3.5,"Small")</f>
        <v>Small</v>
      </c>
    </row>
    <row r="131" spans="1:10">
      <c r="A131" t="s">
        <v>7</v>
      </c>
      <c r="B131" t="s">
        <v>8</v>
      </c>
      <c r="C131">
        <v>44.1</v>
      </c>
      <c r="D131">
        <v>18</v>
      </c>
      <c r="E131">
        <v>210</v>
      </c>
      <c r="F131">
        <v>4000</v>
      </c>
      <c r="G131" t="s">
        <v>9</v>
      </c>
      <c r="H131">
        <f t="shared" ref="H131:H194" si="2">F131/1000</f>
        <v>4</v>
      </c>
      <c r="I131" t="str" cm="1">
        <f t="array" ref="I131">_xlfn.IFS(G131="MALE","Male",G131="FEMALE","Female",G131="NA","Unknown")</f>
        <v>Male</v>
      </c>
      <c r="J131" t="str" cm="1">
        <f t="array" ref="J131">_xlfn.IFS(H131&gt;=3.5,"Big",H131&lt;3.5,"Small")</f>
        <v>Big</v>
      </c>
    </row>
    <row r="132" spans="1:10">
      <c r="A132" t="s">
        <v>7</v>
      </c>
      <c r="B132" t="s">
        <v>8</v>
      </c>
      <c r="C132">
        <v>38.5</v>
      </c>
      <c r="D132">
        <v>17.9</v>
      </c>
      <c r="E132">
        <v>190</v>
      </c>
      <c r="F132">
        <v>3325</v>
      </c>
      <c r="G132" t="s">
        <v>10</v>
      </c>
      <c r="H132">
        <f t="shared" si="2"/>
        <v>3.325</v>
      </c>
      <c r="I132" t="str" cm="1">
        <f t="array" ref="I132">_xlfn.IFS(G132="MALE","Male",G132="FEMALE","Female",G132="NA","Unknown")</f>
        <v>Female</v>
      </c>
      <c r="J132" t="str" cm="1">
        <f t="array" ref="J132">_xlfn.IFS(H132&gt;=3.5,"Big",H132&lt;3.5,"Small")</f>
        <v>Small</v>
      </c>
    </row>
    <row r="133" spans="1:10">
      <c r="A133" t="s">
        <v>7</v>
      </c>
      <c r="B133" t="s">
        <v>8</v>
      </c>
      <c r="C133">
        <v>43.1</v>
      </c>
      <c r="D133">
        <v>19.2</v>
      </c>
      <c r="E133">
        <v>197</v>
      </c>
      <c r="F133">
        <v>3500</v>
      </c>
      <c r="G133" t="s">
        <v>9</v>
      </c>
      <c r="H133">
        <f t="shared" si="2"/>
        <v>3.5</v>
      </c>
      <c r="I133" t="str" cm="1">
        <f t="array" ref="I133">_xlfn.IFS(G133="MALE","Male",G133="FEMALE","Female",G133="NA","Unknown")</f>
        <v>Male</v>
      </c>
      <c r="J133" t="str" cm="1">
        <f t="array" ref="J133">_xlfn.IFS(H133&gt;=3.5,"Big",H133&lt;3.5,"Small")</f>
        <v>Big</v>
      </c>
    </row>
    <row r="134" spans="1:10">
      <c r="A134" t="s">
        <v>7</v>
      </c>
      <c r="B134" t="s">
        <v>13</v>
      </c>
      <c r="C134">
        <v>36.8</v>
      </c>
      <c r="D134">
        <v>18.5</v>
      </c>
      <c r="E134">
        <v>193</v>
      </c>
      <c r="F134">
        <v>3500</v>
      </c>
      <c r="G134" t="s">
        <v>10</v>
      </c>
      <c r="H134">
        <f t="shared" si="2"/>
        <v>3.5</v>
      </c>
      <c r="I134" t="str" cm="1">
        <f t="array" ref="I134">_xlfn.IFS(G134="MALE","Male",G134="FEMALE","Female",G134="NA","Unknown")</f>
        <v>Female</v>
      </c>
      <c r="J134" t="str" cm="1">
        <f t="array" ref="J134">_xlfn.IFS(H134&gt;=3.5,"Big",H134&lt;3.5,"Small")</f>
        <v>Big</v>
      </c>
    </row>
    <row r="135" spans="1:10">
      <c r="A135" t="s">
        <v>7</v>
      </c>
      <c r="B135" t="s">
        <v>13</v>
      </c>
      <c r="C135">
        <v>37.5</v>
      </c>
      <c r="D135">
        <v>18.5</v>
      </c>
      <c r="E135">
        <v>199</v>
      </c>
      <c r="F135">
        <v>4475</v>
      </c>
      <c r="G135" t="s">
        <v>9</v>
      </c>
      <c r="H135">
        <f t="shared" si="2"/>
        <v>4.475</v>
      </c>
      <c r="I135" t="str" cm="1">
        <f t="array" ref="I135">_xlfn.IFS(G135="MALE","Male",G135="FEMALE","Female",G135="NA","Unknown")</f>
        <v>Male</v>
      </c>
      <c r="J135" t="str" cm="1">
        <f t="array" ref="J135">_xlfn.IFS(H135&gt;=3.5,"Big",H135&lt;3.5,"Small")</f>
        <v>Big</v>
      </c>
    </row>
    <row r="136" spans="1:10">
      <c r="A136" t="s">
        <v>7</v>
      </c>
      <c r="B136" t="s">
        <v>13</v>
      </c>
      <c r="C136">
        <v>38.1</v>
      </c>
      <c r="D136">
        <v>17.6</v>
      </c>
      <c r="E136">
        <v>187</v>
      </c>
      <c r="F136">
        <v>3425</v>
      </c>
      <c r="G136" t="s">
        <v>10</v>
      </c>
      <c r="H136">
        <f t="shared" si="2"/>
        <v>3.425</v>
      </c>
      <c r="I136" t="str" cm="1">
        <f t="array" ref="I136">_xlfn.IFS(G136="MALE","Male",G136="FEMALE","Female",G136="NA","Unknown")</f>
        <v>Female</v>
      </c>
      <c r="J136" t="str" cm="1">
        <f t="array" ref="J136">_xlfn.IFS(H136&gt;=3.5,"Big",H136&lt;3.5,"Small")</f>
        <v>Small</v>
      </c>
    </row>
    <row r="137" spans="1:10">
      <c r="A137" t="s">
        <v>7</v>
      </c>
      <c r="B137" t="s">
        <v>13</v>
      </c>
      <c r="C137">
        <v>41.1</v>
      </c>
      <c r="D137">
        <v>17.5</v>
      </c>
      <c r="E137">
        <v>190</v>
      </c>
      <c r="F137">
        <v>3900</v>
      </c>
      <c r="G137" t="s">
        <v>9</v>
      </c>
      <c r="H137">
        <f t="shared" si="2"/>
        <v>3.9</v>
      </c>
      <c r="I137" t="str" cm="1">
        <f t="array" ref="I137">_xlfn.IFS(G137="MALE","Male",G137="FEMALE","Female",G137="NA","Unknown")</f>
        <v>Male</v>
      </c>
      <c r="J137" t="str" cm="1">
        <f t="array" ref="J137">_xlfn.IFS(H137&gt;=3.5,"Big",H137&lt;3.5,"Small")</f>
        <v>Big</v>
      </c>
    </row>
    <row r="138" spans="1:10">
      <c r="A138" t="s">
        <v>7</v>
      </c>
      <c r="B138" t="s">
        <v>13</v>
      </c>
      <c r="C138">
        <v>35.6</v>
      </c>
      <c r="D138">
        <v>17.5</v>
      </c>
      <c r="E138">
        <v>191</v>
      </c>
      <c r="F138">
        <v>3175</v>
      </c>
      <c r="G138" t="s">
        <v>10</v>
      </c>
      <c r="H138">
        <f t="shared" si="2"/>
        <v>3.175</v>
      </c>
      <c r="I138" t="str" cm="1">
        <f t="array" ref="I138">_xlfn.IFS(G138="MALE","Male",G138="FEMALE","Female",G138="NA","Unknown")</f>
        <v>Female</v>
      </c>
      <c r="J138" t="str" cm="1">
        <f t="array" ref="J138">_xlfn.IFS(H138&gt;=3.5,"Big",H138&lt;3.5,"Small")</f>
        <v>Small</v>
      </c>
    </row>
    <row r="139" spans="1:10">
      <c r="A139" t="s">
        <v>7</v>
      </c>
      <c r="B139" t="s">
        <v>13</v>
      </c>
      <c r="C139">
        <v>40.2</v>
      </c>
      <c r="D139">
        <v>20.1</v>
      </c>
      <c r="E139">
        <v>200</v>
      </c>
      <c r="F139">
        <v>3975</v>
      </c>
      <c r="G139" t="s">
        <v>9</v>
      </c>
      <c r="H139">
        <f t="shared" si="2"/>
        <v>3.975</v>
      </c>
      <c r="I139" t="str" cm="1">
        <f t="array" ref="I139">_xlfn.IFS(G139="MALE","Male",G139="FEMALE","Female",G139="NA","Unknown")</f>
        <v>Male</v>
      </c>
      <c r="J139" t="str" cm="1">
        <f t="array" ref="J139">_xlfn.IFS(H139&gt;=3.5,"Big",H139&lt;3.5,"Small")</f>
        <v>Big</v>
      </c>
    </row>
    <row r="140" spans="1:10">
      <c r="A140" t="s">
        <v>7</v>
      </c>
      <c r="B140" t="s">
        <v>13</v>
      </c>
      <c r="C140">
        <v>37</v>
      </c>
      <c r="D140">
        <v>16.5</v>
      </c>
      <c r="E140">
        <v>185</v>
      </c>
      <c r="F140">
        <v>3400</v>
      </c>
      <c r="G140" t="s">
        <v>10</v>
      </c>
      <c r="H140">
        <f t="shared" si="2"/>
        <v>3.4</v>
      </c>
      <c r="I140" t="str" cm="1">
        <f t="array" ref="I140">_xlfn.IFS(G140="MALE","Male",G140="FEMALE","Female",G140="NA","Unknown")</f>
        <v>Female</v>
      </c>
      <c r="J140" t="str" cm="1">
        <f t="array" ref="J140">_xlfn.IFS(H140&gt;=3.5,"Big",H140&lt;3.5,"Small")</f>
        <v>Small</v>
      </c>
    </row>
    <row r="141" spans="1:10">
      <c r="A141" t="s">
        <v>7</v>
      </c>
      <c r="B141" t="s">
        <v>13</v>
      </c>
      <c r="C141">
        <v>39.7</v>
      </c>
      <c r="D141">
        <v>17.9</v>
      </c>
      <c r="E141">
        <v>193</v>
      </c>
      <c r="F141">
        <v>4250</v>
      </c>
      <c r="G141" t="s">
        <v>9</v>
      </c>
      <c r="H141">
        <f t="shared" si="2"/>
        <v>4.25</v>
      </c>
      <c r="I141" t="str" cm="1">
        <f t="array" ref="I141">_xlfn.IFS(G141="MALE","Male",G141="FEMALE","Female",G141="NA","Unknown")</f>
        <v>Male</v>
      </c>
      <c r="J141" t="str" cm="1">
        <f t="array" ref="J141">_xlfn.IFS(H141&gt;=3.5,"Big",H141&lt;3.5,"Small")</f>
        <v>Big</v>
      </c>
    </row>
    <row r="142" spans="1:10">
      <c r="A142" t="s">
        <v>7</v>
      </c>
      <c r="B142" t="s">
        <v>13</v>
      </c>
      <c r="C142">
        <v>40.2</v>
      </c>
      <c r="D142">
        <v>17.1</v>
      </c>
      <c r="E142">
        <v>193</v>
      </c>
      <c r="F142">
        <v>3400</v>
      </c>
      <c r="G142" t="s">
        <v>10</v>
      </c>
      <c r="H142">
        <f t="shared" si="2"/>
        <v>3.4</v>
      </c>
      <c r="I142" t="str" cm="1">
        <f t="array" ref="I142">_xlfn.IFS(G142="MALE","Male",G142="FEMALE","Female",G142="NA","Unknown")</f>
        <v>Female</v>
      </c>
      <c r="J142" t="str" cm="1">
        <f t="array" ref="J142">_xlfn.IFS(H142&gt;=3.5,"Big",H142&lt;3.5,"Small")</f>
        <v>Small</v>
      </c>
    </row>
    <row r="143" spans="1:10">
      <c r="A143" t="s">
        <v>7</v>
      </c>
      <c r="B143" t="s">
        <v>13</v>
      </c>
      <c r="C143">
        <v>40.6</v>
      </c>
      <c r="D143">
        <v>17.2</v>
      </c>
      <c r="E143">
        <v>187</v>
      </c>
      <c r="F143">
        <v>3475</v>
      </c>
      <c r="G143" t="s">
        <v>9</v>
      </c>
      <c r="H143">
        <f t="shared" si="2"/>
        <v>3.475</v>
      </c>
      <c r="I143" t="str" cm="1">
        <f t="array" ref="I143">_xlfn.IFS(G143="MALE","Male",G143="FEMALE","Female",G143="NA","Unknown")</f>
        <v>Male</v>
      </c>
      <c r="J143" t="str" cm="1">
        <f t="array" ref="J143">_xlfn.IFS(H143&gt;=3.5,"Big",H143&lt;3.5,"Small")</f>
        <v>Small</v>
      </c>
    </row>
    <row r="144" spans="1:10">
      <c r="A144" t="s">
        <v>7</v>
      </c>
      <c r="B144" t="s">
        <v>13</v>
      </c>
      <c r="C144">
        <v>32.1</v>
      </c>
      <c r="D144">
        <v>15.5</v>
      </c>
      <c r="E144">
        <v>188</v>
      </c>
      <c r="F144">
        <v>3050</v>
      </c>
      <c r="G144" t="s">
        <v>10</v>
      </c>
      <c r="H144">
        <f t="shared" si="2"/>
        <v>3.05</v>
      </c>
      <c r="I144" t="str" cm="1">
        <f t="array" ref="I144">_xlfn.IFS(G144="MALE","Male",G144="FEMALE","Female",G144="NA","Unknown")</f>
        <v>Female</v>
      </c>
      <c r="J144" t="str" cm="1">
        <f t="array" ref="J144">_xlfn.IFS(H144&gt;=3.5,"Big",H144&lt;3.5,"Small")</f>
        <v>Small</v>
      </c>
    </row>
    <row r="145" spans="1:10">
      <c r="A145" t="s">
        <v>7</v>
      </c>
      <c r="B145" t="s">
        <v>13</v>
      </c>
      <c r="C145">
        <v>40.7</v>
      </c>
      <c r="D145">
        <v>17</v>
      </c>
      <c r="E145">
        <v>190</v>
      </c>
      <c r="F145">
        <v>3725</v>
      </c>
      <c r="G145" t="s">
        <v>9</v>
      </c>
      <c r="H145">
        <f t="shared" si="2"/>
        <v>3.725</v>
      </c>
      <c r="I145" t="str" cm="1">
        <f t="array" ref="I145">_xlfn.IFS(G145="MALE","Male",G145="FEMALE","Female",G145="NA","Unknown")</f>
        <v>Male</v>
      </c>
      <c r="J145" t="str" cm="1">
        <f t="array" ref="J145">_xlfn.IFS(H145&gt;=3.5,"Big",H145&lt;3.5,"Small")</f>
        <v>Big</v>
      </c>
    </row>
    <row r="146" spans="1:10">
      <c r="A146" t="s">
        <v>7</v>
      </c>
      <c r="B146" t="s">
        <v>13</v>
      </c>
      <c r="C146">
        <v>37.3</v>
      </c>
      <c r="D146">
        <v>16.8</v>
      </c>
      <c r="E146">
        <v>192</v>
      </c>
      <c r="F146">
        <v>3000</v>
      </c>
      <c r="G146" t="s">
        <v>10</v>
      </c>
      <c r="H146">
        <f t="shared" si="2"/>
        <v>3</v>
      </c>
      <c r="I146" t="str" cm="1">
        <f t="array" ref="I146">_xlfn.IFS(G146="MALE","Male",G146="FEMALE","Female",G146="NA","Unknown")</f>
        <v>Female</v>
      </c>
      <c r="J146" t="str" cm="1">
        <f t="array" ref="J146">_xlfn.IFS(H146&gt;=3.5,"Big",H146&lt;3.5,"Small")</f>
        <v>Small</v>
      </c>
    </row>
    <row r="147" spans="1:10">
      <c r="A147" t="s">
        <v>7</v>
      </c>
      <c r="B147" t="s">
        <v>13</v>
      </c>
      <c r="C147">
        <v>39</v>
      </c>
      <c r="D147">
        <v>18.7</v>
      </c>
      <c r="E147">
        <v>185</v>
      </c>
      <c r="F147">
        <v>3650</v>
      </c>
      <c r="G147" t="s">
        <v>9</v>
      </c>
      <c r="H147">
        <f t="shared" si="2"/>
        <v>3.65</v>
      </c>
      <c r="I147" t="str" cm="1">
        <f t="array" ref="I147">_xlfn.IFS(G147="MALE","Male",G147="FEMALE","Female",G147="NA","Unknown")</f>
        <v>Male</v>
      </c>
      <c r="J147" t="str" cm="1">
        <f t="array" ref="J147">_xlfn.IFS(H147&gt;=3.5,"Big",H147&lt;3.5,"Small")</f>
        <v>Big</v>
      </c>
    </row>
    <row r="148" spans="1:10">
      <c r="A148" t="s">
        <v>7</v>
      </c>
      <c r="B148" t="s">
        <v>13</v>
      </c>
      <c r="C148">
        <v>39.2</v>
      </c>
      <c r="D148">
        <v>18.6</v>
      </c>
      <c r="E148">
        <v>190</v>
      </c>
      <c r="F148">
        <v>4250</v>
      </c>
      <c r="G148" t="s">
        <v>9</v>
      </c>
      <c r="H148">
        <f t="shared" si="2"/>
        <v>4.25</v>
      </c>
      <c r="I148" t="str" cm="1">
        <f t="array" ref="I148">_xlfn.IFS(G148="MALE","Male",G148="FEMALE","Female",G148="NA","Unknown")</f>
        <v>Male</v>
      </c>
      <c r="J148" t="str" cm="1">
        <f t="array" ref="J148">_xlfn.IFS(H148&gt;=3.5,"Big",H148&lt;3.5,"Small")</f>
        <v>Big</v>
      </c>
    </row>
    <row r="149" spans="1:10">
      <c r="A149" t="s">
        <v>7</v>
      </c>
      <c r="B149" t="s">
        <v>13</v>
      </c>
      <c r="C149">
        <v>36.6</v>
      </c>
      <c r="D149">
        <v>18.4</v>
      </c>
      <c r="E149">
        <v>184</v>
      </c>
      <c r="F149">
        <v>3475</v>
      </c>
      <c r="G149" t="s">
        <v>10</v>
      </c>
      <c r="H149">
        <f t="shared" si="2"/>
        <v>3.475</v>
      </c>
      <c r="I149" t="str" cm="1">
        <f t="array" ref="I149">_xlfn.IFS(G149="MALE","Male",G149="FEMALE","Female",G149="NA","Unknown")</f>
        <v>Female</v>
      </c>
      <c r="J149" t="str" cm="1">
        <f t="array" ref="J149">_xlfn.IFS(H149&gt;=3.5,"Big",H149&lt;3.5,"Small")</f>
        <v>Small</v>
      </c>
    </row>
    <row r="150" spans="1:10">
      <c r="A150" t="s">
        <v>7</v>
      </c>
      <c r="B150" t="s">
        <v>13</v>
      </c>
      <c r="C150">
        <v>36</v>
      </c>
      <c r="D150">
        <v>17.8</v>
      </c>
      <c r="E150">
        <v>195</v>
      </c>
      <c r="F150">
        <v>3450</v>
      </c>
      <c r="G150" t="s">
        <v>10</v>
      </c>
      <c r="H150">
        <f t="shared" si="2"/>
        <v>3.45</v>
      </c>
      <c r="I150" t="str" cm="1">
        <f t="array" ref="I150">_xlfn.IFS(G150="MALE","Male",G150="FEMALE","Female",G150="NA","Unknown")</f>
        <v>Female</v>
      </c>
      <c r="J150" t="str" cm="1">
        <f t="array" ref="J150">_xlfn.IFS(H150&gt;=3.5,"Big",H150&lt;3.5,"Small")</f>
        <v>Small</v>
      </c>
    </row>
    <row r="151" spans="1:10">
      <c r="A151" t="s">
        <v>7</v>
      </c>
      <c r="B151" t="s">
        <v>13</v>
      </c>
      <c r="C151">
        <v>37.8</v>
      </c>
      <c r="D151">
        <v>18.1</v>
      </c>
      <c r="E151">
        <v>193</v>
      </c>
      <c r="F151">
        <v>3750</v>
      </c>
      <c r="G151" t="s">
        <v>9</v>
      </c>
      <c r="H151">
        <f t="shared" si="2"/>
        <v>3.75</v>
      </c>
      <c r="I151" t="str" cm="1">
        <f t="array" ref="I151">_xlfn.IFS(G151="MALE","Male",G151="FEMALE","Female",G151="NA","Unknown")</f>
        <v>Male</v>
      </c>
      <c r="J151" t="str" cm="1">
        <f t="array" ref="J151">_xlfn.IFS(H151&gt;=3.5,"Big",H151&lt;3.5,"Small")</f>
        <v>Big</v>
      </c>
    </row>
    <row r="152" spans="1:10">
      <c r="A152" t="s">
        <v>7</v>
      </c>
      <c r="B152" t="s">
        <v>13</v>
      </c>
      <c r="C152">
        <v>36</v>
      </c>
      <c r="D152">
        <v>17.1</v>
      </c>
      <c r="E152">
        <v>187</v>
      </c>
      <c r="F152">
        <v>3700</v>
      </c>
      <c r="G152" t="s">
        <v>10</v>
      </c>
      <c r="H152">
        <f t="shared" si="2"/>
        <v>3.7</v>
      </c>
      <c r="I152" t="str" cm="1">
        <f t="array" ref="I152">_xlfn.IFS(G152="MALE","Male",G152="FEMALE","Female",G152="NA","Unknown")</f>
        <v>Female</v>
      </c>
      <c r="J152" t="str" cm="1">
        <f t="array" ref="J152">_xlfn.IFS(H152&gt;=3.5,"Big",H152&lt;3.5,"Small")</f>
        <v>Big</v>
      </c>
    </row>
    <row r="153" spans="1:10">
      <c r="A153" t="s">
        <v>7</v>
      </c>
      <c r="B153" t="s">
        <v>13</v>
      </c>
      <c r="C153">
        <v>41.5</v>
      </c>
      <c r="D153">
        <v>18.5</v>
      </c>
      <c r="E153">
        <v>201</v>
      </c>
      <c r="F153">
        <v>4000</v>
      </c>
      <c r="G153" t="s">
        <v>9</v>
      </c>
      <c r="H153">
        <f t="shared" si="2"/>
        <v>4</v>
      </c>
      <c r="I153" t="str" cm="1">
        <f t="array" ref="I153">_xlfn.IFS(G153="MALE","Male",G153="FEMALE","Female",G153="NA","Unknown")</f>
        <v>Male</v>
      </c>
      <c r="J153" t="str" cm="1">
        <f t="array" ref="J153">_xlfn.IFS(H153&gt;=3.5,"Big",H153&lt;3.5,"Small")</f>
        <v>Big</v>
      </c>
    </row>
    <row r="154" spans="1:10">
      <c r="A154" t="s">
        <v>14</v>
      </c>
      <c r="B154" t="s">
        <v>13</v>
      </c>
      <c r="C154">
        <v>46.5</v>
      </c>
      <c r="D154">
        <v>17.9</v>
      </c>
      <c r="E154">
        <v>192</v>
      </c>
      <c r="F154">
        <v>3500</v>
      </c>
      <c r="G154" t="s">
        <v>10</v>
      </c>
      <c r="H154">
        <f t="shared" si="2"/>
        <v>3.5</v>
      </c>
      <c r="I154" t="str" cm="1">
        <f t="array" ref="I154">_xlfn.IFS(G154="MALE","Male",G154="FEMALE","Female",G154="NA","Unknown")</f>
        <v>Female</v>
      </c>
      <c r="J154" t="str" cm="1">
        <f t="array" ref="J154">_xlfn.IFS(H154&gt;=3.5,"Big",H154&lt;3.5,"Small")</f>
        <v>Big</v>
      </c>
    </row>
    <row r="155" spans="1:10">
      <c r="A155" t="s">
        <v>14</v>
      </c>
      <c r="B155" t="s">
        <v>13</v>
      </c>
      <c r="C155">
        <v>50</v>
      </c>
      <c r="D155">
        <v>19.5</v>
      </c>
      <c r="E155">
        <v>196</v>
      </c>
      <c r="F155">
        <v>3900</v>
      </c>
      <c r="G155" t="s">
        <v>9</v>
      </c>
      <c r="H155">
        <f t="shared" si="2"/>
        <v>3.9</v>
      </c>
      <c r="I155" t="str" cm="1">
        <f t="array" ref="I155">_xlfn.IFS(G155="MALE","Male",G155="FEMALE","Female",G155="NA","Unknown")</f>
        <v>Male</v>
      </c>
      <c r="J155" t="str" cm="1">
        <f t="array" ref="J155">_xlfn.IFS(H155&gt;=3.5,"Big",H155&lt;3.5,"Small")</f>
        <v>Big</v>
      </c>
    </row>
    <row r="156" spans="1:10">
      <c r="A156" t="s">
        <v>14</v>
      </c>
      <c r="B156" t="s">
        <v>13</v>
      </c>
      <c r="C156">
        <v>51.3</v>
      </c>
      <c r="D156">
        <v>19.2</v>
      </c>
      <c r="E156">
        <v>193</v>
      </c>
      <c r="F156">
        <v>3650</v>
      </c>
      <c r="G156" t="s">
        <v>9</v>
      </c>
      <c r="H156">
        <f t="shared" si="2"/>
        <v>3.65</v>
      </c>
      <c r="I156" t="str" cm="1">
        <f t="array" ref="I156">_xlfn.IFS(G156="MALE","Male",G156="FEMALE","Female",G156="NA","Unknown")</f>
        <v>Male</v>
      </c>
      <c r="J156" t="str" cm="1">
        <f t="array" ref="J156">_xlfn.IFS(H156&gt;=3.5,"Big",H156&lt;3.5,"Small")</f>
        <v>Big</v>
      </c>
    </row>
    <row r="157" spans="1:10">
      <c r="A157" t="s">
        <v>14</v>
      </c>
      <c r="B157" t="s">
        <v>13</v>
      </c>
      <c r="C157">
        <v>45.4</v>
      </c>
      <c r="D157">
        <v>18.7</v>
      </c>
      <c r="E157">
        <v>188</v>
      </c>
      <c r="F157">
        <v>3525</v>
      </c>
      <c r="G157" t="s">
        <v>10</v>
      </c>
      <c r="H157">
        <f t="shared" si="2"/>
        <v>3.525</v>
      </c>
      <c r="I157" t="str" cm="1">
        <f t="array" ref="I157">_xlfn.IFS(G157="MALE","Male",G157="FEMALE","Female",G157="NA","Unknown")</f>
        <v>Female</v>
      </c>
      <c r="J157" t="str" cm="1">
        <f t="array" ref="J157">_xlfn.IFS(H157&gt;=3.5,"Big",H157&lt;3.5,"Small")</f>
        <v>Big</v>
      </c>
    </row>
    <row r="158" spans="1:10">
      <c r="A158" t="s">
        <v>14</v>
      </c>
      <c r="B158" t="s">
        <v>13</v>
      </c>
      <c r="C158">
        <v>52.7</v>
      </c>
      <c r="D158">
        <v>19.8</v>
      </c>
      <c r="E158">
        <v>197</v>
      </c>
      <c r="F158">
        <v>3725</v>
      </c>
      <c r="G158" t="s">
        <v>9</v>
      </c>
      <c r="H158">
        <f t="shared" si="2"/>
        <v>3.725</v>
      </c>
      <c r="I158" t="str" cm="1">
        <f t="array" ref="I158">_xlfn.IFS(G158="MALE","Male",G158="FEMALE","Female",G158="NA","Unknown")</f>
        <v>Male</v>
      </c>
      <c r="J158" t="str" cm="1">
        <f t="array" ref="J158">_xlfn.IFS(H158&gt;=3.5,"Big",H158&lt;3.5,"Small")</f>
        <v>Big</v>
      </c>
    </row>
    <row r="159" spans="1:10">
      <c r="A159" t="s">
        <v>14</v>
      </c>
      <c r="B159" t="s">
        <v>13</v>
      </c>
      <c r="C159">
        <v>45.2</v>
      </c>
      <c r="D159">
        <v>17.8</v>
      </c>
      <c r="E159">
        <v>198</v>
      </c>
      <c r="F159">
        <v>3950</v>
      </c>
      <c r="G159" t="s">
        <v>10</v>
      </c>
      <c r="H159">
        <f t="shared" si="2"/>
        <v>3.95</v>
      </c>
      <c r="I159" t="str" cm="1">
        <f t="array" ref="I159">_xlfn.IFS(G159="MALE","Male",G159="FEMALE","Female",G159="NA","Unknown")</f>
        <v>Female</v>
      </c>
      <c r="J159" t="str" cm="1">
        <f t="array" ref="J159">_xlfn.IFS(H159&gt;=3.5,"Big",H159&lt;3.5,"Small")</f>
        <v>Big</v>
      </c>
    </row>
    <row r="160" spans="1:10">
      <c r="A160" t="s">
        <v>14</v>
      </c>
      <c r="B160" t="s">
        <v>13</v>
      </c>
      <c r="C160">
        <v>46.1</v>
      </c>
      <c r="D160">
        <v>18.2</v>
      </c>
      <c r="E160">
        <v>178</v>
      </c>
      <c r="F160">
        <v>3250</v>
      </c>
      <c r="G160" t="s">
        <v>10</v>
      </c>
      <c r="H160">
        <f t="shared" si="2"/>
        <v>3.25</v>
      </c>
      <c r="I160" t="str" cm="1">
        <f t="array" ref="I160">_xlfn.IFS(G160="MALE","Male",G160="FEMALE","Female",G160="NA","Unknown")</f>
        <v>Female</v>
      </c>
      <c r="J160" t="str" cm="1">
        <f t="array" ref="J160">_xlfn.IFS(H160&gt;=3.5,"Big",H160&lt;3.5,"Small")</f>
        <v>Small</v>
      </c>
    </row>
    <row r="161" spans="1:10">
      <c r="A161" t="s">
        <v>14</v>
      </c>
      <c r="B161" t="s">
        <v>13</v>
      </c>
      <c r="C161">
        <v>51.3</v>
      </c>
      <c r="D161">
        <v>18.2</v>
      </c>
      <c r="E161">
        <v>197</v>
      </c>
      <c r="F161">
        <v>3750</v>
      </c>
      <c r="G161" t="s">
        <v>9</v>
      </c>
      <c r="H161">
        <f t="shared" si="2"/>
        <v>3.75</v>
      </c>
      <c r="I161" t="str" cm="1">
        <f t="array" ref="I161">_xlfn.IFS(G161="MALE","Male",G161="FEMALE","Female",G161="NA","Unknown")</f>
        <v>Male</v>
      </c>
      <c r="J161" t="str" cm="1">
        <f t="array" ref="J161">_xlfn.IFS(H161&gt;=3.5,"Big",H161&lt;3.5,"Small")</f>
        <v>Big</v>
      </c>
    </row>
    <row r="162" spans="1:10">
      <c r="A162" t="s">
        <v>14</v>
      </c>
      <c r="B162" t="s">
        <v>13</v>
      </c>
      <c r="C162">
        <v>46</v>
      </c>
      <c r="D162">
        <v>18.9</v>
      </c>
      <c r="E162">
        <v>195</v>
      </c>
      <c r="F162">
        <v>4150</v>
      </c>
      <c r="G162" t="s">
        <v>10</v>
      </c>
      <c r="H162">
        <f t="shared" si="2"/>
        <v>4.15</v>
      </c>
      <c r="I162" t="str" cm="1">
        <f t="array" ref="I162">_xlfn.IFS(G162="MALE","Male",G162="FEMALE","Female",G162="NA","Unknown")</f>
        <v>Female</v>
      </c>
      <c r="J162" t="str" cm="1">
        <f t="array" ref="J162">_xlfn.IFS(H162&gt;=3.5,"Big",H162&lt;3.5,"Small")</f>
        <v>Big</v>
      </c>
    </row>
    <row r="163" spans="1:10">
      <c r="A163" t="s">
        <v>14</v>
      </c>
      <c r="B163" t="s">
        <v>13</v>
      </c>
      <c r="C163">
        <v>51.3</v>
      </c>
      <c r="D163">
        <v>19.9</v>
      </c>
      <c r="E163">
        <v>198</v>
      </c>
      <c r="F163">
        <v>3700</v>
      </c>
      <c r="G163" t="s">
        <v>9</v>
      </c>
      <c r="H163">
        <f t="shared" si="2"/>
        <v>3.7</v>
      </c>
      <c r="I163" t="str" cm="1">
        <f t="array" ref="I163">_xlfn.IFS(G163="MALE","Male",G163="FEMALE","Female",G163="NA","Unknown")</f>
        <v>Male</v>
      </c>
      <c r="J163" t="str" cm="1">
        <f t="array" ref="J163">_xlfn.IFS(H163&gt;=3.5,"Big",H163&lt;3.5,"Small")</f>
        <v>Big</v>
      </c>
    </row>
    <row r="164" spans="1:10">
      <c r="A164" t="s">
        <v>14</v>
      </c>
      <c r="B164" t="s">
        <v>13</v>
      </c>
      <c r="C164">
        <v>46.6</v>
      </c>
      <c r="D164">
        <v>17.8</v>
      </c>
      <c r="E164">
        <v>193</v>
      </c>
      <c r="F164">
        <v>3800</v>
      </c>
      <c r="G164" t="s">
        <v>10</v>
      </c>
      <c r="H164">
        <f t="shared" si="2"/>
        <v>3.8</v>
      </c>
      <c r="I164" t="str" cm="1">
        <f t="array" ref="I164">_xlfn.IFS(G164="MALE","Male",G164="FEMALE","Female",G164="NA","Unknown")</f>
        <v>Female</v>
      </c>
      <c r="J164" t="str" cm="1">
        <f t="array" ref="J164">_xlfn.IFS(H164&gt;=3.5,"Big",H164&lt;3.5,"Small")</f>
        <v>Big</v>
      </c>
    </row>
    <row r="165" spans="1:10">
      <c r="A165" t="s">
        <v>14</v>
      </c>
      <c r="B165" t="s">
        <v>13</v>
      </c>
      <c r="C165">
        <v>51.7</v>
      </c>
      <c r="D165">
        <v>20.3</v>
      </c>
      <c r="E165">
        <v>194</v>
      </c>
      <c r="F165">
        <v>3775</v>
      </c>
      <c r="G165" t="s">
        <v>9</v>
      </c>
      <c r="H165">
        <f t="shared" si="2"/>
        <v>3.775</v>
      </c>
      <c r="I165" t="str" cm="1">
        <f t="array" ref="I165">_xlfn.IFS(G165="MALE","Male",G165="FEMALE","Female",G165="NA","Unknown")</f>
        <v>Male</v>
      </c>
      <c r="J165" t="str" cm="1">
        <f t="array" ref="J165">_xlfn.IFS(H165&gt;=3.5,"Big",H165&lt;3.5,"Small")</f>
        <v>Big</v>
      </c>
    </row>
    <row r="166" spans="1:10">
      <c r="A166" t="s">
        <v>14</v>
      </c>
      <c r="B166" t="s">
        <v>13</v>
      </c>
      <c r="C166">
        <v>47</v>
      </c>
      <c r="D166">
        <v>17.3</v>
      </c>
      <c r="E166">
        <v>185</v>
      </c>
      <c r="F166">
        <v>3700</v>
      </c>
      <c r="G166" t="s">
        <v>10</v>
      </c>
      <c r="H166">
        <f t="shared" si="2"/>
        <v>3.7</v>
      </c>
      <c r="I166" t="str" cm="1">
        <f t="array" ref="I166">_xlfn.IFS(G166="MALE","Male",G166="FEMALE","Female",G166="NA","Unknown")</f>
        <v>Female</v>
      </c>
      <c r="J166" t="str" cm="1">
        <f t="array" ref="J166">_xlfn.IFS(H166&gt;=3.5,"Big",H166&lt;3.5,"Small")</f>
        <v>Big</v>
      </c>
    </row>
    <row r="167" spans="1:10">
      <c r="A167" t="s">
        <v>14</v>
      </c>
      <c r="B167" t="s">
        <v>13</v>
      </c>
      <c r="C167">
        <v>52</v>
      </c>
      <c r="D167">
        <v>18.1</v>
      </c>
      <c r="E167">
        <v>201</v>
      </c>
      <c r="F167">
        <v>4050</v>
      </c>
      <c r="G167" t="s">
        <v>9</v>
      </c>
      <c r="H167">
        <f t="shared" si="2"/>
        <v>4.05</v>
      </c>
      <c r="I167" t="str" cm="1">
        <f t="array" ref="I167">_xlfn.IFS(G167="MALE","Male",G167="FEMALE","Female",G167="NA","Unknown")</f>
        <v>Male</v>
      </c>
      <c r="J167" t="str" cm="1">
        <f t="array" ref="J167">_xlfn.IFS(H167&gt;=3.5,"Big",H167&lt;3.5,"Small")</f>
        <v>Big</v>
      </c>
    </row>
    <row r="168" spans="1:10">
      <c r="A168" t="s">
        <v>14</v>
      </c>
      <c r="B168" t="s">
        <v>13</v>
      </c>
      <c r="C168">
        <v>45.9</v>
      </c>
      <c r="D168">
        <v>17.1</v>
      </c>
      <c r="E168">
        <v>190</v>
      </c>
      <c r="F168">
        <v>3575</v>
      </c>
      <c r="G168" t="s">
        <v>10</v>
      </c>
      <c r="H168">
        <f t="shared" si="2"/>
        <v>3.575</v>
      </c>
      <c r="I168" t="str" cm="1">
        <f t="array" ref="I168">_xlfn.IFS(G168="MALE","Male",G168="FEMALE","Female",G168="NA","Unknown")</f>
        <v>Female</v>
      </c>
      <c r="J168" t="str" cm="1">
        <f t="array" ref="J168">_xlfn.IFS(H168&gt;=3.5,"Big",H168&lt;3.5,"Small")</f>
        <v>Big</v>
      </c>
    </row>
    <row r="169" spans="1:10">
      <c r="A169" t="s">
        <v>14</v>
      </c>
      <c r="B169" t="s">
        <v>13</v>
      </c>
      <c r="C169">
        <v>50.5</v>
      </c>
      <c r="D169">
        <v>19.6</v>
      </c>
      <c r="E169">
        <v>201</v>
      </c>
      <c r="F169">
        <v>4050</v>
      </c>
      <c r="G169" t="s">
        <v>9</v>
      </c>
      <c r="H169">
        <f t="shared" si="2"/>
        <v>4.05</v>
      </c>
      <c r="I169" t="str" cm="1">
        <f t="array" ref="I169">_xlfn.IFS(G169="MALE","Male",G169="FEMALE","Female",G169="NA","Unknown")</f>
        <v>Male</v>
      </c>
      <c r="J169" t="str" cm="1">
        <f t="array" ref="J169">_xlfn.IFS(H169&gt;=3.5,"Big",H169&lt;3.5,"Small")</f>
        <v>Big</v>
      </c>
    </row>
    <row r="170" spans="1:10">
      <c r="A170" t="s">
        <v>14</v>
      </c>
      <c r="B170" t="s">
        <v>13</v>
      </c>
      <c r="C170">
        <v>50.3</v>
      </c>
      <c r="D170">
        <v>20</v>
      </c>
      <c r="E170">
        <v>197</v>
      </c>
      <c r="F170">
        <v>3300</v>
      </c>
      <c r="G170" t="s">
        <v>9</v>
      </c>
      <c r="H170">
        <f t="shared" si="2"/>
        <v>3.3</v>
      </c>
      <c r="I170" t="str" cm="1">
        <f t="array" ref="I170">_xlfn.IFS(G170="MALE","Male",G170="FEMALE","Female",G170="NA","Unknown")</f>
        <v>Male</v>
      </c>
      <c r="J170" t="str" cm="1">
        <f t="array" ref="J170">_xlfn.IFS(H170&gt;=3.5,"Big",H170&lt;3.5,"Small")</f>
        <v>Small</v>
      </c>
    </row>
    <row r="171" spans="1:10">
      <c r="A171" t="s">
        <v>14</v>
      </c>
      <c r="B171" t="s">
        <v>13</v>
      </c>
      <c r="C171">
        <v>58</v>
      </c>
      <c r="D171">
        <v>17.8</v>
      </c>
      <c r="E171">
        <v>181</v>
      </c>
      <c r="F171">
        <v>3700</v>
      </c>
      <c r="G171" t="s">
        <v>10</v>
      </c>
      <c r="H171">
        <f t="shared" si="2"/>
        <v>3.7</v>
      </c>
      <c r="I171" t="str" cm="1">
        <f t="array" ref="I171">_xlfn.IFS(G171="MALE","Male",G171="FEMALE","Female",G171="NA","Unknown")</f>
        <v>Female</v>
      </c>
      <c r="J171" t="str" cm="1">
        <f t="array" ref="J171">_xlfn.IFS(H171&gt;=3.5,"Big",H171&lt;3.5,"Small")</f>
        <v>Big</v>
      </c>
    </row>
    <row r="172" spans="1:10">
      <c r="A172" t="s">
        <v>14</v>
      </c>
      <c r="B172" t="s">
        <v>13</v>
      </c>
      <c r="C172">
        <v>46.4</v>
      </c>
      <c r="D172">
        <v>18.6</v>
      </c>
      <c r="E172">
        <v>190</v>
      </c>
      <c r="F172">
        <v>3450</v>
      </c>
      <c r="G172" t="s">
        <v>10</v>
      </c>
      <c r="H172">
        <f t="shared" si="2"/>
        <v>3.45</v>
      </c>
      <c r="I172" t="str" cm="1">
        <f t="array" ref="I172">_xlfn.IFS(G172="MALE","Male",G172="FEMALE","Female",G172="NA","Unknown")</f>
        <v>Female</v>
      </c>
      <c r="J172" t="str" cm="1">
        <f t="array" ref="J172">_xlfn.IFS(H172&gt;=3.5,"Big",H172&lt;3.5,"Small")</f>
        <v>Small</v>
      </c>
    </row>
    <row r="173" spans="1:10">
      <c r="A173" t="s">
        <v>14</v>
      </c>
      <c r="B173" t="s">
        <v>13</v>
      </c>
      <c r="C173">
        <v>49.2</v>
      </c>
      <c r="D173">
        <v>18.2</v>
      </c>
      <c r="E173">
        <v>195</v>
      </c>
      <c r="F173">
        <v>4400</v>
      </c>
      <c r="G173" t="s">
        <v>9</v>
      </c>
      <c r="H173">
        <f t="shared" si="2"/>
        <v>4.4</v>
      </c>
      <c r="I173" t="str" cm="1">
        <f t="array" ref="I173">_xlfn.IFS(G173="MALE","Male",G173="FEMALE","Female",G173="NA","Unknown")</f>
        <v>Male</v>
      </c>
      <c r="J173" t="str" cm="1">
        <f t="array" ref="J173">_xlfn.IFS(H173&gt;=3.5,"Big",H173&lt;3.5,"Small")</f>
        <v>Big</v>
      </c>
    </row>
    <row r="174" spans="1:10">
      <c r="A174" t="s">
        <v>14</v>
      </c>
      <c r="B174" t="s">
        <v>13</v>
      </c>
      <c r="C174">
        <v>42.4</v>
      </c>
      <c r="D174">
        <v>17.3</v>
      </c>
      <c r="E174">
        <v>181</v>
      </c>
      <c r="F174">
        <v>3600</v>
      </c>
      <c r="G174" t="s">
        <v>10</v>
      </c>
      <c r="H174">
        <f t="shared" si="2"/>
        <v>3.6</v>
      </c>
      <c r="I174" t="str" cm="1">
        <f t="array" ref="I174">_xlfn.IFS(G174="MALE","Male",G174="FEMALE","Female",G174="NA","Unknown")</f>
        <v>Female</v>
      </c>
      <c r="J174" t="str" cm="1">
        <f t="array" ref="J174">_xlfn.IFS(H174&gt;=3.5,"Big",H174&lt;3.5,"Small")</f>
        <v>Big</v>
      </c>
    </row>
    <row r="175" spans="1:10">
      <c r="A175" t="s">
        <v>14</v>
      </c>
      <c r="B175" t="s">
        <v>13</v>
      </c>
      <c r="C175">
        <v>48.5</v>
      </c>
      <c r="D175">
        <v>17.5</v>
      </c>
      <c r="E175">
        <v>191</v>
      </c>
      <c r="F175">
        <v>3400</v>
      </c>
      <c r="G175" t="s">
        <v>9</v>
      </c>
      <c r="H175">
        <f t="shared" si="2"/>
        <v>3.4</v>
      </c>
      <c r="I175" t="str" cm="1">
        <f t="array" ref="I175">_xlfn.IFS(G175="MALE","Male",G175="FEMALE","Female",G175="NA","Unknown")</f>
        <v>Male</v>
      </c>
      <c r="J175" t="str" cm="1">
        <f t="array" ref="J175">_xlfn.IFS(H175&gt;=3.5,"Big",H175&lt;3.5,"Small")</f>
        <v>Small</v>
      </c>
    </row>
    <row r="176" spans="1:10">
      <c r="A176" t="s">
        <v>14</v>
      </c>
      <c r="B176" t="s">
        <v>13</v>
      </c>
      <c r="C176">
        <v>43.2</v>
      </c>
      <c r="D176">
        <v>16.6</v>
      </c>
      <c r="E176">
        <v>187</v>
      </c>
      <c r="F176">
        <v>2900</v>
      </c>
      <c r="G176" t="s">
        <v>10</v>
      </c>
      <c r="H176">
        <f t="shared" si="2"/>
        <v>2.9</v>
      </c>
      <c r="I176" t="str" cm="1">
        <f t="array" ref="I176">_xlfn.IFS(G176="MALE","Male",G176="FEMALE","Female",G176="NA","Unknown")</f>
        <v>Female</v>
      </c>
      <c r="J176" t="str" cm="1">
        <f t="array" ref="J176">_xlfn.IFS(H176&gt;=3.5,"Big",H176&lt;3.5,"Small")</f>
        <v>Small</v>
      </c>
    </row>
    <row r="177" spans="1:10">
      <c r="A177" t="s">
        <v>14</v>
      </c>
      <c r="B177" t="s">
        <v>13</v>
      </c>
      <c r="C177">
        <v>50.6</v>
      </c>
      <c r="D177">
        <v>19.4</v>
      </c>
      <c r="E177">
        <v>193</v>
      </c>
      <c r="F177">
        <v>3800</v>
      </c>
      <c r="G177" t="s">
        <v>9</v>
      </c>
      <c r="H177">
        <f t="shared" si="2"/>
        <v>3.8</v>
      </c>
      <c r="I177" t="str" cm="1">
        <f t="array" ref="I177">_xlfn.IFS(G177="MALE","Male",G177="FEMALE","Female",G177="NA","Unknown")</f>
        <v>Male</v>
      </c>
      <c r="J177" t="str" cm="1">
        <f t="array" ref="J177">_xlfn.IFS(H177&gt;=3.5,"Big",H177&lt;3.5,"Small")</f>
        <v>Big</v>
      </c>
    </row>
    <row r="178" spans="1:10">
      <c r="A178" t="s">
        <v>14</v>
      </c>
      <c r="B178" t="s">
        <v>13</v>
      </c>
      <c r="C178">
        <v>46.7</v>
      </c>
      <c r="D178">
        <v>17.9</v>
      </c>
      <c r="E178">
        <v>195</v>
      </c>
      <c r="F178">
        <v>3300</v>
      </c>
      <c r="G178" t="s">
        <v>10</v>
      </c>
      <c r="H178">
        <f t="shared" si="2"/>
        <v>3.3</v>
      </c>
      <c r="I178" t="str" cm="1">
        <f t="array" ref="I178">_xlfn.IFS(G178="MALE","Male",G178="FEMALE","Female",G178="NA","Unknown")</f>
        <v>Female</v>
      </c>
      <c r="J178" t="str" cm="1">
        <f t="array" ref="J178">_xlfn.IFS(H178&gt;=3.5,"Big",H178&lt;3.5,"Small")</f>
        <v>Small</v>
      </c>
    </row>
    <row r="179" spans="1:10">
      <c r="A179" t="s">
        <v>14</v>
      </c>
      <c r="B179" t="s">
        <v>13</v>
      </c>
      <c r="C179">
        <v>52</v>
      </c>
      <c r="D179">
        <v>19</v>
      </c>
      <c r="E179">
        <v>197</v>
      </c>
      <c r="F179">
        <v>4150</v>
      </c>
      <c r="G179" t="s">
        <v>9</v>
      </c>
      <c r="H179">
        <f t="shared" si="2"/>
        <v>4.15</v>
      </c>
      <c r="I179" t="str" cm="1">
        <f t="array" ref="I179">_xlfn.IFS(G179="MALE","Male",G179="FEMALE","Female",G179="NA","Unknown")</f>
        <v>Male</v>
      </c>
      <c r="J179" t="str" cm="1">
        <f t="array" ref="J179">_xlfn.IFS(H179&gt;=3.5,"Big",H179&lt;3.5,"Small")</f>
        <v>Big</v>
      </c>
    </row>
    <row r="180" spans="1:10">
      <c r="A180" t="s">
        <v>14</v>
      </c>
      <c r="B180" t="s">
        <v>13</v>
      </c>
      <c r="C180">
        <v>50.5</v>
      </c>
      <c r="D180">
        <v>18.4</v>
      </c>
      <c r="E180">
        <v>200</v>
      </c>
      <c r="F180">
        <v>3400</v>
      </c>
      <c r="G180" t="s">
        <v>10</v>
      </c>
      <c r="H180">
        <f t="shared" si="2"/>
        <v>3.4</v>
      </c>
      <c r="I180" t="str" cm="1">
        <f t="array" ref="I180">_xlfn.IFS(G180="MALE","Male",G180="FEMALE","Female",G180="NA","Unknown")</f>
        <v>Female</v>
      </c>
      <c r="J180" t="str" cm="1">
        <f t="array" ref="J180">_xlfn.IFS(H180&gt;=3.5,"Big",H180&lt;3.5,"Small")</f>
        <v>Small</v>
      </c>
    </row>
    <row r="181" spans="1:10">
      <c r="A181" t="s">
        <v>14</v>
      </c>
      <c r="B181" t="s">
        <v>13</v>
      </c>
      <c r="C181">
        <v>49.5</v>
      </c>
      <c r="D181">
        <v>19</v>
      </c>
      <c r="E181">
        <v>200</v>
      </c>
      <c r="F181">
        <v>3800</v>
      </c>
      <c r="G181" t="s">
        <v>9</v>
      </c>
      <c r="H181">
        <f t="shared" si="2"/>
        <v>3.8</v>
      </c>
      <c r="I181" t="str" cm="1">
        <f t="array" ref="I181">_xlfn.IFS(G181="MALE","Male",G181="FEMALE","Female",G181="NA","Unknown")</f>
        <v>Male</v>
      </c>
      <c r="J181" t="str" cm="1">
        <f t="array" ref="J181">_xlfn.IFS(H181&gt;=3.5,"Big",H181&lt;3.5,"Small")</f>
        <v>Big</v>
      </c>
    </row>
    <row r="182" spans="1:10">
      <c r="A182" t="s">
        <v>14</v>
      </c>
      <c r="B182" t="s">
        <v>13</v>
      </c>
      <c r="C182">
        <v>46.4</v>
      </c>
      <c r="D182">
        <v>17.8</v>
      </c>
      <c r="E182">
        <v>191</v>
      </c>
      <c r="F182">
        <v>3700</v>
      </c>
      <c r="G182" t="s">
        <v>10</v>
      </c>
      <c r="H182">
        <f t="shared" si="2"/>
        <v>3.7</v>
      </c>
      <c r="I182" t="str" cm="1">
        <f t="array" ref="I182">_xlfn.IFS(G182="MALE","Male",G182="FEMALE","Female",G182="NA","Unknown")</f>
        <v>Female</v>
      </c>
      <c r="J182" t="str" cm="1">
        <f t="array" ref="J182">_xlfn.IFS(H182&gt;=3.5,"Big",H182&lt;3.5,"Small")</f>
        <v>Big</v>
      </c>
    </row>
    <row r="183" spans="1:10">
      <c r="A183" t="s">
        <v>14</v>
      </c>
      <c r="B183" t="s">
        <v>13</v>
      </c>
      <c r="C183">
        <v>52.8</v>
      </c>
      <c r="D183">
        <v>20</v>
      </c>
      <c r="E183">
        <v>205</v>
      </c>
      <c r="F183">
        <v>4550</v>
      </c>
      <c r="G183" t="s">
        <v>9</v>
      </c>
      <c r="H183">
        <f t="shared" si="2"/>
        <v>4.55</v>
      </c>
      <c r="I183" t="str" cm="1">
        <f t="array" ref="I183">_xlfn.IFS(G183="MALE","Male",G183="FEMALE","Female",G183="NA","Unknown")</f>
        <v>Male</v>
      </c>
      <c r="J183" t="str" cm="1">
        <f t="array" ref="J183">_xlfn.IFS(H183&gt;=3.5,"Big",H183&lt;3.5,"Small")</f>
        <v>Big</v>
      </c>
    </row>
    <row r="184" spans="1:10">
      <c r="A184" t="s">
        <v>14</v>
      </c>
      <c r="B184" t="s">
        <v>13</v>
      </c>
      <c r="C184">
        <v>40.9</v>
      </c>
      <c r="D184">
        <v>16.6</v>
      </c>
      <c r="E184">
        <v>187</v>
      </c>
      <c r="F184">
        <v>3200</v>
      </c>
      <c r="G184" t="s">
        <v>10</v>
      </c>
      <c r="H184">
        <f t="shared" si="2"/>
        <v>3.2</v>
      </c>
      <c r="I184" t="str" cm="1">
        <f t="array" ref="I184">_xlfn.IFS(G184="MALE","Male",G184="FEMALE","Female",G184="NA","Unknown")</f>
        <v>Female</v>
      </c>
      <c r="J184" t="str" cm="1">
        <f t="array" ref="J184">_xlfn.IFS(H184&gt;=3.5,"Big",H184&lt;3.5,"Small")</f>
        <v>Small</v>
      </c>
    </row>
    <row r="185" spans="1:10">
      <c r="A185" t="s">
        <v>14</v>
      </c>
      <c r="B185" t="s">
        <v>13</v>
      </c>
      <c r="C185">
        <v>54.2</v>
      </c>
      <c r="D185">
        <v>20.8</v>
      </c>
      <c r="E185">
        <v>201</v>
      </c>
      <c r="F185">
        <v>4300</v>
      </c>
      <c r="G185" t="s">
        <v>9</v>
      </c>
      <c r="H185">
        <f t="shared" si="2"/>
        <v>4.3</v>
      </c>
      <c r="I185" t="str" cm="1">
        <f t="array" ref="I185">_xlfn.IFS(G185="MALE","Male",G185="FEMALE","Female",G185="NA","Unknown")</f>
        <v>Male</v>
      </c>
      <c r="J185" t="str" cm="1">
        <f t="array" ref="J185">_xlfn.IFS(H185&gt;=3.5,"Big",H185&lt;3.5,"Small")</f>
        <v>Big</v>
      </c>
    </row>
    <row r="186" spans="1:10">
      <c r="A186" t="s">
        <v>14</v>
      </c>
      <c r="B186" t="s">
        <v>13</v>
      </c>
      <c r="C186">
        <v>42.5</v>
      </c>
      <c r="D186">
        <v>16.7</v>
      </c>
      <c r="E186">
        <v>187</v>
      </c>
      <c r="F186">
        <v>3350</v>
      </c>
      <c r="G186" t="s">
        <v>10</v>
      </c>
      <c r="H186">
        <f t="shared" si="2"/>
        <v>3.35</v>
      </c>
      <c r="I186" t="str" cm="1">
        <f t="array" ref="I186">_xlfn.IFS(G186="MALE","Male",G186="FEMALE","Female",G186="NA","Unknown")</f>
        <v>Female</v>
      </c>
      <c r="J186" t="str" cm="1">
        <f t="array" ref="J186">_xlfn.IFS(H186&gt;=3.5,"Big",H186&lt;3.5,"Small")</f>
        <v>Small</v>
      </c>
    </row>
    <row r="187" spans="1:10">
      <c r="A187" t="s">
        <v>14</v>
      </c>
      <c r="B187" t="s">
        <v>13</v>
      </c>
      <c r="C187">
        <v>51</v>
      </c>
      <c r="D187">
        <v>18.8</v>
      </c>
      <c r="E187">
        <v>203</v>
      </c>
      <c r="F187">
        <v>4100</v>
      </c>
      <c r="G187" t="s">
        <v>9</v>
      </c>
      <c r="H187">
        <f t="shared" si="2"/>
        <v>4.1</v>
      </c>
      <c r="I187" t="str" cm="1">
        <f t="array" ref="I187">_xlfn.IFS(G187="MALE","Male",G187="FEMALE","Female",G187="NA","Unknown")</f>
        <v>Male</v>
      </c>
      <c r="J187" t="str" cm="1">
        <f t="array" ref="J187">_xlfn.IFS(H187&gt;=3.5,"Big",H187&lt;3.5,"Small")</f>
        <v>Big</v>
      </c>
    </row>
    <row r="188" spans="1:10">
      <c r="A188" t="s">
        <v>14</v>
      </c>
      <c r="B188" t="s">
        <v>13</v>
      </c>
      <c r="C188">
        <v>49.7</v>
      </c>
      <c r="D188">
        <v>18.6</v>
      </c>
      <c r="E188">
        <v>195</v>
      </c>
      <c r="F188">
        <v>3600</v>
      </c>
      <c r="G188" t="s">
        <v>9</v>
      </c>
      <c r="H188">
        <f t="shared" si="2"/>
        <v>3.6</v>
      </c>
      <c r="I188" t="str" cm="1">
        <f t="array" ref="I188">_xlfn.IFS(G188="MALE","Male",G188="FEMALE","Female",G188="NA","Unknown")</f>
        <v>Male</v>
      </c>
      <c r="J188" t="str" cm="1">
        <f t="array" ref="J188">_xlfn.IFS(H188&gt;=3.5,"Big",H188&lt;3.5,"Small")</f>
        <v>Big</v>
      </c>
    </row>
    <row r="189" spans="1:10">
      <c r="A189" t="s">
        <v>14</v>
      </c>
      <c r="B189" t="s">
        <v>13</v>
      </c>
      <c r="C189">
        <v>47.5</v>
      </c>
      <c r="D189">
        <v>16.8</v>
      </c>
      <c r="E189">
        <v>199</v>
      </c>
      <c r="F189">
        <v>3900</v>
      </c>
      <c r="G189" t="s">
        <v>10</v>
      </c>
      <c r="H189">
        <f t="shared" si="2"/>
        <v>3.9</v>
      </c>
      <c r="I189" t="str" cm="1">
        <f t="array" ref="I189">_xlfn.IFS(G189="MALE","Male",G189="FEMALE","Female",G189="NA","Unknown")</f>
        <v>Female</v>
      </c>
      <c r="J189" t="str" cm="1">
        <f t="array" ref="J189">_xlfn.IFS(H189&gt;=3.5,"Big",H189&lt;3.5,"Small")</f>
        <v>Big</v>
      </c>
    </row>
    <row r="190" spans="1:10">
      <c r="A190" t="s">
        <v>14</v>
      </c>
      <c r="B190" t="s">
        <v>13</v>
      </c>
      <c r="C190">
        <v>47.6</v>
      </c>
      <c r="D190">
        <v>18.3</v>
      </c>
      <c r="E190">
        <v>195</v>
      </c>
      <c r="F190">
        <v>3850</v>
      </c>
      <c r="G190" t="s">
        <v>10</v>
      </c>
      <c r="H190">
        <f t="shared" si="2"/>
        <v>3.85</v>
      </c>
      <c r="I190" t="str" cm="1">
        <f t="array" ref="I190">_xlfn.IFS(G190="MALE","Male",G190="FEMALE","Female",G190="NA","Unknown")</f>
        <v>Female</v>
      </c>
      <c r="J190" t="str" cm="1">
        <f t="array" ref="J190">_xlfn.IFS(H190&gt;=3.5,"Big",H190&lt;3.5,"Small")</f>
        <v>Big</v>
      </c>
    </row>
    <row r="191" spans="1:10">
      <c r="A191" t="s">
        <v>14</v>
      </c>
      <c r="B191" t="s">
        <v>13</v>
      </c>
      <c r="C191">
        <v>52</v>
      </c>
      <c r="D191">
        <v>20.7</v>
      </c>
      <c r="E191">
        <v>210</v>
      </c>
      <c r="F191">
        <v>4800</v>
      </c>
      <c r="G191" t="s">
        <v>9</v>
      </c>
      <c r="H191">
        <f t="shared" si="2"/>
        <v>4.8</v>
      </c>
      <c r="I191" t="str" cm="1">
        <f t="array" ref="I191">_xlfn.IFS(G191="MALE","Male",G191="FEMALE","Female",G191="NA","Unknown")</f>
        <v>Male</v>
      </c>
      <c r="J191" t="str" cm="1">
        <f t="array" ref="J191">_xlfn.IFS(H191&gt;=3.5,"Big",H191&lt;3.5,"Small")</f>
        <v>Big</v>
      </c>
    </row>
    <row r="192" spans="1:10">
      <c r="A192" t="s">
        <v>14</v>
      </c>
      <c r="B192" t="s">
        <v>13</v>
      </c>
      <c r="C192">
        <v>46.9</v>
      </c>
      <c r="D192">
        <v>16.6</v>
      </c>
      <c r="E192">
        <v>192</v>
      </c>
      <c r="F192">
        <v>2700</v>
      </c>
      <c r="G192" t="s">
        <v>10</v>
      </c>
      <c r="H192">
        <f t="shared" si="2"/>
        <v>2.7</v>
      </c>
      <c r="I192" t="str" cm="1">
        <f t="array" ref="I192">_xlfn.IFS(G192="MALE","Male",G192="FEMALE","Female",G192="NA","Unknown")</f>
        <v>Female</v>
      </c>
      <c r="J192" t="str" cm="1">
        <f t="array" ref="J192">_xlfn.IFS(H192&gt;=3.5,"Big",H192&lt;3.5,"Small")</f>
        <v>Small</v>
      </c>
    </row>
    <row r="193" spans="1:10">
      <c r="A193" t="s">
        <v>14</v>
      </c>
      <c r="B193" t="s">
        <v>13</v>
      </c>
      <c r="C193">
        <v>53.5</v>
      </c>
      <c r="D193">
        <v>19.9</v>
      </c>
      <c r="E193">
        <v>205</v>
      </c>
      <c r="F193">
        <v>4500</v>
      </c>
      <c r="G193" t="s">
        <v>9</v>
      </c>
      <c r="H193">
        <f t="shared" si="2"/>
        <v>4.5</v>
      </c>
      <c r="I193" t="str" cm="1">
        <f t="array" ref="I193">_xlfn.IFS(G193="MALE","Male",G193="FEMALE","Female",G193="NA","Unknown")</f>
        <v>Male</v>
      </c>
      <c r="J193" t="str" cm="1">
        <f t="array" ref="J193">_xlfn.IFS(H193&gt;=3.5,"Big",H193&lt;3.5,"Small")</f>
        <v>Big</v>
      </c>
    </row>
    <row r="194" spans="1:10">
      <c r="A194" t="s">
        <v>14</v>
      </c>
      <c r="B194" t="s">
        <v>13</v>
      </c>
      <c r="C194">
        <v>49</v>
      </c>
      <c r="D194">
        <v>19.5</v>
      </c>
      <c r="E194">
        <v>210</v>
      </c>
      <c r="F194">
        <v>3950</v>
      </c>
      <c r="G194" t="s">
        <v>9</v>
      </c>
      <c r="H194">
        <f t="shared" si="2"/>
        <v>3.95</v>
      </c>
      <c r="I194" t="str" cm="1">
        <f t="array" ref="I194">_xlfn.IFS(G194="MALE","Male",G194="FEMALE","Female",G194="NA","Unknown")</f>
        <v>Male</v>
      </c>
      <c r="J194" t="str" cm="1">
        <f t="array" ref="J194">_xlfn.IFS(H194&gt;=3.5,"Big",H194&lt;3.5,"Small")</f>
        <v>Big</v>
      </c>
    </row>
    <row r="195" spans="1:10">
      <c r="A195" t="s">
        <v>14</v>
      </c>
      <c r="B195" t="s">
        <v>13</v>
      </c>
      <c r="C195">
        <v>46.2</v>
      </c>
      <c r="D195">
        <v>17.5</v>
      </c>
      <c r="E195">
        <v>187</v>
      </c>
      <c r="F195">
        <v>3650</v>
      </c>
      <c r="G195" t="s">
        <v>10</v>
      </c>
      <c r="H195">
        <f t="shared" ref="H195:H258" si="3">F195/1000</f>
        <v>3.65</v>
      </c>
      <c r="I195" t="str" cm="1">
        <f t="array" ref="I195">_xlfn.IFS(G195="MALE","Male",G195="FEMALE","Female",G195="NA","Unknown")</f>
        <v>Female</v>
      </c>
      <c r="J195" t="str" cm="1">
        <f t="array" ref="J195">_xlfn.IFS(H195&gt;=3.5,"Big",H195&lt;3.5,"Small")</f>
        <v>Big</v>
      </c>
    </row>
    <row r="196" spans="1:10">
      <c r="A196" t="s">
        <v>14</v>
      </c>
      <c r="B196" t="s">
        <v>13</v>
      </c>
      <c r="C196">
        <v>50.9</v>
      </c>
      <c r="D196">
        <v>19.1</v>
      </c>
      <c r="E196">
        <v>196</v>
      </c>
      <c r="F196">
        <v>3550</v>
      </c>
      <c r="G196" t="s">
        <v>9</v>
      </c>
      <c r="H196">
        <f t="shared" si="3"/>
        <v>3.55</v>
      </c>
      <c r="I196" t="str" cm="1">
        <f t="array" ref="I196">_xlfn.IFS(G196="MALE","Male",G196="FEMALE","Female",G196="NA","Unknown")</f>
        <v>Male</v>
      </c>
      <c r="J196" t="str" cm="1">
        <f t="array" ref="J196">_xlfn.IFS(H196&gt;=3.5,"Big",H196&lt;3.5,"Small")</f>
        <v>Big</v>
      </c>
    </row>
    <row r="197" spans="1:10">
      <c r="A197" t="s">
        <v>14</v>
      </c>
      <c r="B197" t="s">
        <v>13</v>
      </c>
      <c r="C197">
        <v>45.5</v>
      </c>
      <c r="D197">
        <v>17</v>
      </c>
      <c r="E197">
        <v>196</v>
      </c>
      <c r="F197">
        <v>3500</v>
      </c>
      <c r="G197" t="s">
        <v>10</v>
      </c>
      <c r="H197">
        <f t="shared" si="3"/>
        <v>3.5</v>
      </c>
      <c r="I197" t="str" cm="1">
        <f t="array" ref="I197">_xlfn.IFS(G197="MALE","Male",G197="FEMALE","Female",G197="NA","Unknown")</f>
        <v>Female</v>
      </c>
      <c r="J197" t="str" cm="1">
        <f t="array" ref="J197">_xlfn.IFS(H197&gt;=3.5,"Big",H197&lt;3.5,"Small")</f>
        <v>Big</v>
      </c>
    </row>
    <row r="198" spans="1:10">
      <c r="A198" t="s">
        <v>14</v>
      </c>
      <c r="B198" t="s">
        <v>13</v>
      </c>
      <c r="C198">
        <v>50.9</v>
      </c>
      <c r="D198">
        <v>17.9</v>
      </c>
      <c r="E198">
        <v>196</v>
      </c>
      <c r="F198">
        <v>3675</v>
      </c>
      <c r="G198" t="s">
        <v>10</v>
      </c>
      <c r="H198">
        <f t="shared" si="3"/>
        <v>3.675</v>
      </c>
      <c r="I198" t="str" cm="1">
        <f t="array" ref="I198">_xlfn.IFS(G198="MALE","Male",G198="FEMALE","Female",G198="NA","Unknown")</f>
        <v>Female</v>
      </c>
      <c r="J198" t="str" cm="1">
        <f t="array" ref="J198">_xlfn.IFS(H198&gt;=3.5,"Big",H198&lt;3.5,"Small")</f>
        <v>Big</v>
      </c>
    </row>
    <row r="199" spans="1:10">
      <c r="A199" t="s">
        <v>14</v>
      </c>
      <c r="B199" t="s">
        <v>13</v>
      </c>
      <c r="C199">
        <v>50.8</v>
      </c>
      <c r="D199">
        <v>18.5</v>
      </c>
      <c r="E199">
        <v>201</v>
      </c>
      <c r="F199">
        <v>4450</v>
      </c>
      <c r="G199" t="s">
        <v>9</v>
      </c>
      <c r="H199">
        <f t="shared" si="3"/>
        <v>4.45</v>
      </c>
      <c r="I199" t="str" cm="1">
        <f t="array" ref="I199">_xlfn.IFS(G199="MALE","Male",G199="FEMALE","Female",G199="NA","Unknown")</f>
        <v>Male</v>
      </c>
      <c r="J199" t="str" cm="1">
        <f t="array" ref="J199">_xlfn.IFS(H199&gt;=3.5,"Big",H199&lt;3.5,"Small")</f>
        <v>Big</v>
      </c>
    </row>
    <row r="200" spans="1:10">
      <c r="A200" t="s">
        <v>14</v>
      </c>
      <c r="B200" t="s">
        <v>13</v>
      </c>
      <c r="C200">
        <v>50.1</v>
      </c>
      <c r="D200">
        <v>17.9</v>
      </c>
      <c r="E200">
        <v>190</v>
      </c>
      <c r="F200">
        <v>3400</v>
      </c>
      <c r="G200" t="s">
        <v>10</v>
      </c>
      <c r="H200">
        <f t="shared" si="3"/>
        <v>3.4</v>
      </c>
      <c r="I200" t="str" cm="1">
        <f t="array" ref="I200">_xlfn.IFS(G200="MALE","Male",G200="FEMALE","Female",G200="NA","Unknown")</f>
        <v>Female</v>
      </c>
      <c r="J200" t="str" cm="1">
        <f t="array" ref="J200">_xlfn.IFS(H200&gt;=3.5,"Big",H200&lt;3.5,"Small")</f>
        <v>Small</v>
      </c>
    </row>
    <row r="201" spans="1:10">
      <c r="A201" t="s">
        <v>14</v>
      </c>
      <c r="B201" t="s">
        <v>13</v>
      </c>
      <c r="C201">
        <v>49</v>
      </c>
      <c r="D201">
        <v>19.6</v>
      </c>
      <c r="E201">
        <v>212</v>
      </c>
      <c r="F201">
        <v>4300</v>
      </c>
      <c r="G201" t="s">
        <v>9</v>
      </c>
      <c r="H201">
        <f t="shared" si="3"/>
        <v>4.3</v>
      </c>
      <c r="I201" t="str" cm="1">
        <f t="array" ref="I201">_xlfn.IFS(G201="MALE","Male",G201="FEMALE","Female",G201="NA","Unknown")</f>
        <v>Male</v>
      </c>
      <c r="J201" t="str" cm="1">
        <f t="array" ref="J201">_xlfn.IFS(H201&gt;=3.5,"Big",H201&lt;3.5,"Small")</f>
        <v>Big</v>
      </c>
    </row>
    <row r="202" spans="1:10">
      <c r="A202" t="s">
        <v>14</v>
      </c>
      <c r="B202" t="s">
        <v>13</v>
      </c>
      <c r="C202">
        <v>51.5</v>
      </c>
      <c r="D202">
        <v>18.7</v>
      </c>
      <c r="E202">
        <v>187</v>
      </c>
      <c r="F202">
        <v>3250</v>
      </c>
      <c r="G202" t="s">
        <v>9</v>
      </c>
      <c r="H202">
        <f t="shared" si="3"/>
        <v>3.25</v>
      </c>
      <c r="I202" t="str" cm="1">
        <f t="array" ref="I202">_xlfn.IFS(G202="MALE","Male",G202="FEMALE","Female",G202="NA","Unknown")</f>
        <v>Male</v>
      </c>
      <c r="J202" t="str" cm="1">
        <f t="array" ref="J202">_xlfn.IFS(H202&gt;=3.5,"Big",H202&lt;3.5,"Small")</f>
        <v>Small</v>
      </c>
    </row>
    <row r="203" spans="1:10">
      <c r="A203" t="s">
        <v>14</v>
      </c>
      <c r="B203" t="s">
        <v>13</v>
      </c>
      <c r="C203">
        <v>49.8</v>
      </c>
      <c r="D203">
        <v>17.3</v>
      </c>
      <c r="E203">
        <v>198</v>
      </c>
      <c r="F203">
        <v>3675</v>
      </c>
      <c r="G203" t="s">
        <v>10</v>
      </c>
      <c r="H203">
        <f t="shared" si="3"/>
        <v>3.675</v>
      </c>
      <c r="I203" t="str" cm="1">
        <f t="array" ref="I203">_xlfn.IFS(G203="MALE","Male",G203="FEMALE","Female",G203="NA","Unknown")</f>
        <v>Female</v>
      </c>
      <c r="J203" t="str" cm="1">
        <f t="array" ref="J203">_xlfn.IFS(H203&gt;=3.5,"Big",H203&lt;3.5,"Small")</f>
        <v>Big</v>
      </c>
    </row>
    <row r="204" spans="1:10">
      <c r="A204" t="s">
        <v>14</v>
      </c>
      <c r="B204" t="s">
        <v>13</v>
      </c>
      <c r="C204">
        <v>48.1</v>
      </c>
      <c r="D204">
        <v>16.4</v>
      </c>
      <c r="E204">
        <v>199</v>
      </c>
      <c r="F204">
        <v>3325</v>
      </c>
      <c r="G204" t="s">
        <v>10</v>
      </c>
      <c r="H204">
        <f t="shared" si="3"/>
        <v>3.325</v>
      </c>
      <c r="I204" t="str" cm="1">
        <f t="array" ref="I204">_xlfn.IFS(G204="MALE","Male",G204="FEMALE","Female",G204="NA","Unknown")</f>
        <v>Female</v>
      </c>
      <c r="J204" t="str" cm="1">
        <f t="array" ref="J204">_xlfn.IFS(H204&gt;=3.5,"Big",H204&lt;3.5,"Small")</f>
        <v>Small</v>
      </c>
    </row>
    <row r="205" spans="1:10">
      <c r="A205" t="s">
        <v>14</v>
      </c>
      <c r="B205" t="s">
        <v>13</v>
      </c>
      <c r="C205">
        <v>51.4</v>
      </c>
      <c r="D205">
        <v>19</v>
      </c>
      <c r="E205">
        <v>201</v>
      </c>
      <c r="F205">
        <v>3950</v>
      </c>
      <c r="G205" t="s">
        <v>9</v>
      </c>
      <c r="H205">
        <f t="shared" si="3"/>
        <v>3.95</v>
      </c>
      <c r="I205" t="str" cm="1">
        <f t="array" ref="I205">_xlfn.IFS(G205="MALE","Male",G205="FEMALE","Female",G205="NA","Unknown")</f>
        <v>Male</v>
      </c>
      <c r="J205" t="str" cm="1">
        <f t="array" ref="J205">_xlfn.IFS(H205&gt;=3.5,"Big",H205&lt;3.5,"Small")</f>
        <v>Big</v>
      </c>
    </row>
    <row r="206" spans="1:10">
      <c r="A206" t="s">
        <v>14</v>
      </c>
      <c r="B206" t="s">
        <v>13</v>
      </c>
      <c r="C206">
        <v>45.7</v>
      </c>
      <c r="D206">
        <v>17.3</v>
      </c>
      <c r="E206">
        <v>193</v>
      </c>
      <c r="F206">
        <v>3600</v>
      </c>
      <c r="G206" t="s">
        <v>10</v>
      </c>
      <c r="H206">
        <f t="shared" si="3"/>
        <v>3.6</v>
      </c>
      <c r="I206" t="str" cm="1">
        <f t="array" ref="I206">_xlfn.IFS(G206="MALE","Male",G206="FEMALE","Female",G206="NA","Unknown")</f>
        <v>Female</v>
      </c>
      <c r="J206" t="str" cm="1">
        <f t="array" ref="J206">_xlfn.IFS(H206&gt;=3.5,"Big",H206&lt;3.5,"Small")</f>
        <v>Big</v>
      </c>
    </row>
    <row r="207" spans="1:10">
      <c r="A207" t="s">
        <v>14</v>
      </c>
      <c r="B207" t="s">
        <v>13</v>
      </c>
      <c r="C207">
        <v>50.7</v>
      </c>
      <c r="D207">
        <v>19.7</v>
      </c>
      <c r="E207">
        <v>203</v>
      </c>
      <c r="F207">
        <v>4050</v>
      </c>
      <c r="G207" t="s">
        <v>9</v>
      </c>
      <c r="H207">
        <f t="shared" si="3"/>
        <v>4.05</v>
      </c>
      <c r="I207" t="str" cm="1">
        <f t="array" ref="I207">_xlfn.IFS(G207="MALE","Male",G207="FEMALE","Female",G207="NA","Unknown")</f>
        <v>Male</v>
      </c>
      <c r="J207" t="str" cm="1">
        <f t="array" ref="J207">_xlfn.IFS(H207&gt;=3.5,"Big",H207&lt;3.5,"Small")</f>
        <v>Big</v>
      </c>
    </row>
    <row r="208" spans="1:10">
      <c r="A208" t="s">
        <v>14</v>
      </c>
      <c r="B208" t="s">
        <v>13</v>
      </c>
      <c r="C208">
        <v>42.5</v>
      </c>
      <c r="D208">
        <v>17.3</v>
      </c>
      <c r="E208">
        <v>187</v>
      </c>
      <c r="F208">
        <v>3350</v>
      </c>
      <c r="G208" t="s">
        <v>10</v>
      </c>
      <c r="H208">
        <f t="shared" si="3"/>
        <v>3.35</v>
      </c>
      <c r="I208" t="str" cm="1">
        <f t="array" ref="I208">_xlfn.IFS(G208="MALE","Male",G208="FEMALE","Female",G208="NA","Unknown")</f>
        <v>Female</v>
      </c>
      <c r="J208" t="str" cm="1">
        <f t="array" ref="J208">_xlfn.IFS(H208&gt;=3.5,"Big",H208&lt;3.5,"Small")</f>
        <v>Small</v>
      </c>
    </row>
    <row r="209" spans="1:10">
      <c r="A209" t="s">
        <v>14</v>
      </c>
      <c r="B209" t="s">
        <v>13</v>
      </c>
      <c r="C209">
        <v>52.2</v>
      </c>
      <c r="D209">
        <v>18.8</v>
      </c>
      <c r="E209">
        <v>197</v>
      </c>
      <c r="F209">
        <v>3450</v>
      </c>
      <c r="G209" t="s">
        <v>9</v>
      </c>
      <c r="H209">
        <f t="shared" si="3"/>
        <v>3.45</v>
      </c>
      <c r="I209" t="str" cm="1">
        <f t="array" ref="I209">_xlfn.IFS(G209="MALE","Male",G209="FEMALE","Female",G209="NA","Unknown")</f>
        <v>Male</v>
      </c>
      <c r="J209" t="str" cm="1">
        <f t="array" ref="J209">_xlfn.IFS(H209&gt;=3.5,"Big",H209&lt;3.5,"Small")</f>
        <v>Small</v>
      </c>
    </row>
    <row r="210" spans="1:10">
      <c r="A210" t="s">
        <v>14</v>
      </c>
      <c r="B210" t="s">
        <v>13</v>
      </c>
      <c r="C210">
        <v>45.2</v>
      </c>
      <c r="D210">
        <v>16.6</v>
      </c>
      <c r="E210">
        <v>191</v>
      </c>
      <c r="F210">
        <v>3250</v>
      </c>
      <c r="G210" t="s">
        <v>10</v>
      </c>
      <c r="H210">
        <f t="shared" si="3"/>
        <v>3.25</v>
      </c>
      <c r="I210" t="str" cm="1">
        <f t="array" ref="I210">_xlfn.IFS(G210="MALE","Male",G210="FEMALE","Female",G210="NA","Unknown")</f>
        <v>Female</v>
      </c>
      <c r="J210" t="str" cm="1">
        <f t="array" ref="J210">_xlfn.IFS(H210&gt;=3.5,"Big",H210&lt;3.5,"Small")</f>
        <v>Small</v>
      </c>
    </row>
    <row r="211" spans="1:10">
      <c r="A211" t="s">
        <v>14</v>
      </c>
      <c r="B211" t="s">
        <v>13</v>
      </c>
      <c r="C211">
        <v>49.3</v>
      </c>
      <c r="D211">
        <v>19.9</v>
      </c>
      <c r="E211">
        <v>203</v>
      </c>
      <c r="F211">
        <v>4050</v>
      </c>
      <c r="G211" t="s">
        <v>9</v>
      </c>
      <c r="H211">
        <f t="shared" si="3"/>
        <v>4.05</v>
      </c>
      <c r="I211" t="str" cm="1">
        <f t="array" ref="I211">_xlfn.IFS(G211="MALE","Male",G211="FEMALE","Female",G211="NA","Unknown")</f>
        <v>Male</v>
      </c>
      <c r="J211" t="str" cm="1">
        <f t="array" ref="J211">_xlfn.IFS(H211&gt;=3.5,"Big",H211&lt;3.5,"Small")</f>
        <v>Big</v>
      </c>
    </row>
    <row r="212" spans="1:10">
      <c r="A212" t="s">
        <v>14</v>
      </c>
      <c r="B212" t="s">
        <v>13</v>
      </c>
      <c r="C212">
        <v>50.2</v>
      </c>
      <c r="D212">
        <v>18.8</v>
      </c>
      <c r="E212">
        <v>202</v>
      </c>
      <c r="F212">
        <v>3800</v>
      </c>
      <c r="G212" t="s">
        <v>9</v>
      </c>
      <c r="H212">
        <f t="shared" si="3"/>
        <v>3.8</v>
      </c>
      <c r="I212" t="str" cm="1">
        <f t="array" ref="I212">_xlfn.IFS(G212="MALE","Male",G212="FEMALE","Female",G212="NA","Unknown")</f>
        <v>Male</v>
      </c>
      <c r="J212" t="str" cm="1">
        <f t="array" ref="J212">_xlfn.IFS(H212&gt;=3.5,"Big",H212&lt;3.5,"Small")</f>
        <v>Big</v>
      </c>
    </row>
    <row r="213" spans="1:10">
      <c r="A213" t="s">
        <v>14</v>
      </c>
      <c r="B213" t="s">
        <v>13</v>
      </c>
      <c r="C213">
        <v>45.6</v>
      </c>
      <c r="D213">
        <v>19.4</v>
      </c>
      <c r="E213">
        <v>194</v>
      </c>
      <c r="F213">
        <v>3525</v>
      </c>
      <c r="G213" t="s">
        <v>10</v>
      </c>
      <c r="H213">
        <f t="shared" si="3"/>
        <v>3.525</v>
      </c>
      <c r="I213" t="str" cm="1">
        <f t="array" ref="I213">_xlfn.IFS(G213="MALE","Male",G213="FEMALE","Female",G213="NA","Unknown")</f>
        <v>Female</v>
      </c>
      <c r="J213" t="str" cm="1">
        <f t="array" ref="J213">_xlfn.IFS(H213&gt;=3.5,"Big",H213&lt;3.5,"Small")</f>
        <v>Big</v>
      </c>
    </row>
    <row r="214" spans="1:10">
      <c r="A214" t="s">
        <v>14</v>
      </c>
      <c r="B214" t="s">
        <v>13</v>
      </c>
      <c r="C214">
        <v>51.9</v>
      </c>
      <c r="D214">
        <v>19.5</v>
      </c>
      <c r="E214">
        <v>206</v>
      </c>
      <c r="F214">
        <v>3950</v>
      </c>
      <c r="G214" t="s">
        <v>9</v>
      </c>
      <c r="H214">
        <f t="shared" si="3"/>
        <v>3.95</v>
      </c>
      <c r="I214" t="str" cm="1">
        <f t="array" ref="I214">_xlfn.IFS(G214="MALE","Male",G214="FEMALE","Female",G214="NA","Unknown")</f>
        <v>Male</v>
      </c>
      <c r="J214" t="str" cm="1">
        <f t="array" ref="J214">_xlfn.IFS(H214&gt;=3.5,"Big",H214&lt;3.5,"Small")</f>
        <v>Big</v>
      </c>
    </row>
    <row r="215" spans="1:10">
      <c r="A215" t="s">
        <v>14</v>
      </c>
      <c r="B215" t="s">
        <v>13</v>
      </c>
      <c r="C215">
        <v>46.8</v>
      </c>
      <c r="D215">
        <v>16.5</v>
      </c>
      <c r="E215">
        <v>189</v>
      </c>
      <c r="F215">
        <v>3650</v>
      </c>
      <c r="G215" t="s">
        <v>10</v>
      </c>
      <c r="H215">
        <f t="shared" si="3"/>
        <v>3.65</v>
      </c>
      <c r="I215" t="str" cm="1">
        <f t="array" ref="I215">_xlfn.IFS(G215="MALE","Male",G215="FEMALE","Female",G215="NA","Unknown")</f>
        <v>Female</v>
      </c>
      <c r="J215" t="str" cm="1">
        <f t="array" ref="J215">_xlfn.IFS(H215&gt;=3.5,"Big",H215&lt;3.5,"Small")</f>
        <v>Big</v>
      </c>
    </row>
    <row r="216" spans="1:10">
      <c r="A216" t="s">
        <v>14</v>
      </c>
      <c r="B216" t="s">
        <v>13</v>
      </c>
      <c r="C216">
        <v>45.7</v>
      </c>
      <c r="D216">
        <v>17</v>
      </c>
      <c r="E216">
        <v>195</v>
      </c>
      <c r="F216">
        <v>3650</v>
      </c>
      <c r="G216" t="s">
        <v>10</v>
      </c>
      <c r="H216">
        <f t="shared" si="3"/>
        <v>3.65</v>
      </c>
      <c r="I216" t="str" cm="1">
        <f t="array" ref="I216">_xlfn.IFS(G216="MALE","Male",G216="FEMALE","Female",G216="NA","Unknown")</f>
        <v>Female</v>
      </c>
      <c r="J216" t="str" cm="1">
        <f t="array" ref="J216">_xlfn.IFS(H216&gt;=3.5,"Big",H216&lt;3.5,"Small")</f>
        <v>Big</v>
      </c>
    </row>
    <row r="217" spans="1:10">
      <c r="A217" t="s">
        <v>14</v>
      </c>
      <c r="B217" t="s">
        <v>13</v>
      </c>
      <c r="C217">
        <v>55.8</v>
      </c>
      <c r="D217">
        <v>19.8</v>
      </c>
      <c r="E217">
        <v>207</v>
      </c>
      <c r="F217">
        <v>4000</v>
      </c>
      <c r="G217" t="s">
        <v>9</v>
      </c>
      <c r="H217">
        <f t="shared" si="3"/>
        <v>4</v>
      </c>
      <c r="I217" t="str" cm="1">
        <f t="array" ref="I217">_xlfn.IFS(G217="MALE","Male",G217="FEMALE","Female",G217="NA","Unknown")</f>
        <v>Male</v>
      </c>
      <c r="J217" t="str" cm="1">
        <f t="array" ref="J217">_xlfn.IFS(H217&gt;=3.5,"Big",H217&lt;3.5,"Small")</f>
        <v>Big</v>
      </c>
    </row>
    <row r="218" spans="1:10">
      <c r="A218" t="s">
        <v>14</v>
      </c>
      <c r="B218" t="s">
        <v>13</v>
      </c>
      <c r="C218">
        <v>43.5</v>
      </c>
      <c r="D218">
        <v>18.1</v>
      </c>
      <c r="E218">
        <v>202</v>
      </c>
      <c r="F218">
        <v>3400</v>
      </c>
      <c r="G218" t="s">
        <v>10</v>
      </c>
      <c r="H218">
        <f t="shared" si="3"/>
        <v>3.4</v>
      </c>
      <c r="I218" t="str" cm="1">
        <f t="array" ref="I218">_xlfn.IFS(G218="MALE","Male",G218="FEMALE","Female",G218="NA","Unknown")</f>
        <v>Female</v>
      </c>
      <c r="J218" t="str" cm="1">
        <f t="array" ref="J218">_xlfn.IFS(H218&gt;=3.5,"Big",H218&lt;3.5,"Small")</f>
        <v>Small</v>
      </c>
    </row>
    <row r="219" spans="1:10">
      <c r="A219" t="s">
        <v>14</v>
      </c>
      <c r="B219" t="s">
        <v>13</v>
      </c>
      <c r="C219">
        <v>49.6</v>
      </c>
      <c r="D219">
        <v>18.2</v>
      </c>
      <c r="E219">
        <v>193</v>
      </c>
      <c r="F219">
        <v>3775</v>
      </c>
      <c r="G219" t="s">
        <v>9</v>
      </c>
      <c r="H219">
        <f t="shared" si="3"/>
        <v>3.775</v>
      </c>
      <c r="I219" t="str" cm="1">
        <f t="array" ref="I219">_xlfn.IFS(G219="MALE","Male",G219="FEMALE","Female",G219="NA","Unknown")</f>
        <v>Male</v>
      </c>
      <c r="J219" t="str" cm="1">
        <f t="array" ref="J219">_xlfn.IFS(H219&gt;=3.5,"Big",H219&lt;3.5,"Small")</f>
        <v>Big</v>
      </c>
    </row>
    <row r="220" spans="1:10">
      <c r="A220" t="s">
        <v>14</v>
      </c>
      <c r="B220" t="s">
        <v>13</v>
      </c>
      <c r="C220">
        <v>50.8</v>
      </c>
      <c r="D220">
        <v>19</v>
      </c>
      <c r="E220">
        <v>210</v>
      </c>
      <c r="F220">
        <v>4100</v>
      </c>
      <c r="G220" t="s">
        <v>9</v>
      </c>
      <c r="H220">
        <f t="shared" si="3"/>
        <v>4.1</v>
      </c>
      <c r="I220" t="str" cm="1">
        <f t="array" ref="I220">_xlfn.IFS(G220="MALE","Male",G220="FEMALE","Female",G220="NA","Unknown")</f>
        <v>Male</v>
      </c>
      <c r="J220" t="str" cm="1">
        <f t="array" ref="J220">_xlfn.IFS(H220&gt;=3.5,"Big",H220&lt;3.5,"Small")</f>
        <v>Big</v>
      </c>
    </row>
    <row r="221" spans="1:10">
      <c r="A221" t="s">
        <v>14</v>
      </c>
      <c r="B221" t="s">
        <v>13</v>
      </c>
      <c r="C221">
        <v>50.2</v>
      </c>
      <c r="D221">
        <v>18.7</v>
      </c>
      <c r="E221">
        <v>198</v>
      </c>
      <c r="F221">
        <v>3775</v>
      </c>
      <c r="G221" t="s">
        <v>10</v>
      </c>
      <c r="H221">
        <f t="shared" si="3"/>
        <v>3.775</v>
      </c>
      <c r="I221" t="str" cm="1">
        <f t="array" ref="I221">_xlfn.IFS(G221="MALE","Male",G221="FEMALE","Female",G221="NA","Unknown")</f>
        <v>Female</v>
      </c>
      <c r="J221" t="str" cm="1">
        <f t="array" ref="J221">_xlfn.IFS(H221&gt;=3.5,"Big",H221&lt;3.5,"Small")</f>
        <v>Big</v>
      </c>
    </row>
    <row r="222" spans="1:10">
      <c r="A222" t="s">
        <v>15</v>
      </c>
      <c r="B222" t="s">
        <v>12</v>
      </c>
      <c r="C222">
        <v>46.1</v>
      </c>
      <c r="D222">
        <v>13.2</v>
      </c>
      <c r="E222">
        <v>211</v>
      </c>
      <c r="F222">
        <v>4500</v>
      </c>
      <c r="G222" t="s">
        <v>10</v>
      </c>
      <c r="H222">
        <f t="shared" si="3"/>
        <v>4.5</v>
      </c>
      <c r="I222" t="str" cm="1">
        <f t="array" ref="I222">_xlfn.IFS(G222="MALE","Male",G222="FEMALE","Female",G222="NA","Unknown")</f>
        <v>Female</v>
      </c>
      <c r="J222" t="str" cm="1">
        <f t="array" ref="J222">_xlfn.IFS(H222&gt;=3.5,"Big",H222&lt;3.5,"Small")</f>
        <v>Big</v>
      </c>
    </row>
    <row r="223" spans="1:10">
      <c r="A223" t="s">
        <v>15</v>
      </c>
      <c r="B223" t="s">
        <v>12</v>
      </c>
      <c r="C223">
        <v>50</v>
      </c>
      <c r="D223">
        <v>16.3</v>
      </c>
      <c r="E223">
        <v>230</v>
      </c>
      <c r="F223">
        <v>5700</v>
      </c>
      <c r="G223" t="s">
        <v>9</v>
      </c>
      <c r="H223">
        <f t="shared" si="3"/>
        <v>5.7</v>
      </c>
      <c r="I223" t="str" cm="1">
        <f t="array" ref="I223">_xlfn.IFS(G223="MALE","Male",G223="FEMALE","Female",G223="NA","Unknown")</f>
        <v>Male</v>
      </c>
      <c r="J223" t="str" cm="1">
        <f t="array" ref="J223">_xlfn.IFS(H223&gt;=3.5,"Big",H223&lt;3.5,"Small")</f>
        <v>Big</v>
      </c>
    </row>
    <row r="224" spans="1:10">
      <c r="A224" t="s">
        <v>15</v>
      </c>
      <c r="B224" t="s">
        <v>12</v>
      </c>
      <c r="C224">
        <v>48.7</v>
      </c>
      <c r="D224">
        <v>14.1</v>
      </c>
      <c r="E224">
        <v>210</v>
      </c>
      <c r="F224">
        <v>4450</v>
      </c>
      <c r="G224" t="s">
        <v>10</v>
      </c>
      <c r="H224">
        <f t="shared" si="3"/>
        <v>4.45</v>
      </c>
      <c r="I224" t="str" cm="1">
        <f t="array" ref="I224">_xlfn.IFS(G224="MALE","Male",G224="FEMALE","Female",G224="NA","Unknown")</f>
        <v>Female</v>
      </c>
      <c r="J224" t="str" cm="1">
        <f t="array" ref="J224">_xlfn.IFS(H224&gt;=3.5,"Big",H224&lt;3.5,"Small")</f>
        <v>Big</v>
      </c>
    </row>
    <row r="225" spans="1:10">
      <c r="A225" t="s">
        <v>15</v>
      </c>
      <c r="B225" t="s">
        <v>12</v>
      </c>
      <c r="C225">
        <v>50</v>
      </c>
      <c r="D225">
        <v>15.2</v>
      </c>
      <c r="E225">
        <v>218</v>
      </c>
      <c r="F225">
        <v>5700</v>
      </c>
      <c r="G225" t="s">
        <v>9</v>
      </c>
      <c r="H225">
        <f t="shared" si="3"/>
        <v>5.7</v>
      </c>
      <c r="I225" t="str" cm="1">
        <f t="array" ref="I225">_xlfn.IFS(G225="MALE","Male",G225="FEMALE","Female",G225="NA","Unknown")</f>
        <v>Male</v>
      </c>
      <c r="J225" t="str" cm="1">
        <f t="array" ref="J225">_xlfn.IFS(H225&gt;=3.5,"Big",H225&lt;3.5,"Small")</f>
        <v>Big</v>
      </c>
    </row>
    <row r="226" spans="1:10">
      <c r="A226" t="s">
        <v>15</v>
      </c>
      <c r="B226" t="s">
        <v>12</v>
      </c>
      <c r="C226">
        <v>47.6</v>
      </c>
      <c r="D226">
        <v>14.5</v>
      </c>
      <c r="E226">
        <v>215</v>
      </c>
      <c r="F226">
        <v>5400</v>
      </c>
      <c r="G226" t="s">
        <v>9</v>
      </c>
      <c r="H226">
        <f t="shared" si="3"/>
        <v>5.4</v>
      </c>
      <c r="I226" t="str" cm="1">
        <f t="array" ref="I226">_xlfn.IFS(G226="MALE","Male",G226="FEMALE","Female",G226="NA","Unknown")</f>
        <v>Male</v>
      </c>
      <c r="J226" t="str" cm="1">
        <f t="array" ref="J226">_xlfn.IFS(H226&gt;=3.5,"Big",H226&lt;3.5,"Small")</f>
        <v>Big</v>
      </c>
    </row>
    <row r="227" spans="1:10">
      <c r="A227" t="s">
        <v>15</v>
      </c>
      <c r="B227" t="s">
        <v>12</v>
      </c>
      <c r="C227">
        <v>46.5</v>
      </c>
      <c r="D227">
        <v>13.5</v>
      </c>
      <c r="E227">
        <v>210</v>
      </c>
      <c r="F227">
        <v>4550</v>
      </c>
      <c r="G227" t="s">
        <v>10</v>
      </c>
      <c r="H227">
        <f t="shared" si="3"/>
        <v>4.55</v>
      </c>
      <c r="I227" t="str" cm="1">
        <f t="array" ref="I227">_xlfn.IFS(G227="MALE","Male",G227="FEMALE","Female",G227="NA","Unknown")</f>
        <v>Female</v>
      </c>
      <c r="J227" t="str" cm="1">
        <f t="array" ref="J227">_xlfn.IFS(H227&gt;=3.5,"Big",H227&lt;3.5,"Small")</f>
        <v>Big</v>
      </c>
    </row>
    <row r="228" spans="1:10">
      <c r="A228" t="s">
        <v>15</v>
      </c>
      <c r="B228" t="s">
        <v>12</v>
      </c>
      <c r="C228">
        <v>45.4</v>
      </c>
      <c r="D228">
        <v>14.6</v>
      </c>
      <c r="E228">
        <v>211</v>
      </c>
      <c r="F228">
        <v>4800</v>
      </c>
      <c r="G228" t="s">
        <v>10</v>
      </c>
      <c r="H228">
        <f t="shared" si="3"/>
        <v>4.8</v>
      </c>
      <c r="I228" t="str" cm="1">
        <f t="array" ref="I228">_xlfn.IFS(G228="MALE","Male",G228="FEMALE","Female",G228="NA","Unknown")</f>
        <v>Female</v>
      </c>
      <c r="J228" t="str" cm="1">
        <f t="array" ref="J228">_xlfn.IFS(H228&gt;=3.5,"Big",H228&lt;3.5,"Small")</f>
        <v>Big</v>
      </c>
    </row>
    <row r="229" spans="1:10">
      <c r="A229" t="s">
        <v>15</v>
      </c>
      <c r="B229" t="s">
        <v>12</v>
      </c>
      <c r="C229">
        <v>46.7</v>
      </c>
      <c r="D229">
        <v>15.3</v>
      </c>
      <c r="E229">
        <v>219</v>
      </c>
      <c r="F229">
        <v>5200</v>
      </c>
      <c r="G229" t="s">
        <v>9</v>
      </c>
      <c r="H229">
        <f t="shared" si="3"/>
        <v>5.2</v>
      </c>
      <c r="I229" t="str" cm="1">
        <f t="array" ref="I229">_xlfn.IFS(G229="MALE","Male",G229="FEMALE","Female",G229="NA","Unknown")</f>
        <v>Male</v>
      </c>
      <c r="J229" t="str" cm="1">
        <f t="array" ref="J229">_xlfn.IFS(H229&gt;=3.5,"Big",H229&lt;3.5,"Small")</f>
        <v>Big</v>
      </c>
    </row>
    <row r="230" spans="1:10">
      <c r="A230" t="s">
        <v>15</v>
      </c>
      <c r="B230" t="s">
        <v>12</v>
      </c>
      <c r="C230">
        <v>43.3</v>
      </c>
      <c r="D230">
        <v>13.4</v>
      </c>
      <c r="E230">
        <v>209</v>
      </c>
      <c r="F230">
        <v>4400</v>
      </c>
      <c r="G230" t="s">
        <v>10</v>
      </c>
      <c r="H230">
        <f t="shared" si="3"/>
        <v>4.4</v>
      </c>
      <c r="I230" t="str" cm="1">
        <f t="array" ref="I230">_xlfn.IFS(G230="MALE","Male",G230="FEMALE","Female",G230="NA","Unknown")</f>
        <v>Female</v>
      </c>
      <c r="J230" t="str" cm="1">
        <f t="array" ref="J230">_xlfn.IFS(H230&gt;=3.5,"Big",H230&lt;3.5,"Small")</f>
        <v>Big</v>
      </c>
    </row>
    <row r="231" spans="1:10">
      <c r="A231" t="s">
        <v>15</v>
      </c>
      <c r="B231" t="s">
        <v>12</v>
      </c>
      <c r="C231">
        <v>46.8</v>
      </c>
      <c r="D231">
        <v>15.4</v>
      </c>
      <c r="E231">
        <v>215</v>
      </c>
      <c r="F231">
        <v>5150</v>
      </c>
      <c r="G231" t="s">
        <v>9</v>
      </c>
      <c r="H231">
        <f t="shared" si="3"/>
        <v>5.15</v>
      </c>
      <c r="I231" t="str" cm="1">
        <f t="array" ref="I231">_xlfn.IFS(G231="MALE","Male",G231="FEMALE","Female",G231="NA","Unknown")</f>
        <v>Male</v>
      </c>
      <c r="J231" t="str" cm="1">
        <f t="array" ref="J231">_xlfn.IFS(H231&gt;=3.5,"Big",H231&lt;3.5,"Small")</f>
        <v>Big</v>
      </c>
    </row>
    <row r="232" spans="1:10">
      <c r="A232" t="s">
        <v>15</v>
      </c>
      <c r="B232" t="s">
        <v>12</v>
      </c>
      <c r="C232">
        <v>40.9</v>
      </c>
      <c r="D232">
        <v>13.7</v>
      </c>
      <c r="E232">
        <v>214</v>
      </c>
      <c r="F232">
        <v>4650</v>
      </c>
      <c r="G232" t="s">
        <v>10</v>
      </c>
      <c r="H232">
        <f t="shared" si="3"/>
        <v>4.65</v>
      </c>
      <c r="I232" t="str" cm="1">
        <f t="array" ref="I232">_xlfn.IFS(G232="MALE","Male",G232="FEMALE","Female",G232="NA","Unknown")</f>
        <v>Female</v>
      </c>
      <c r="J232" t="str" cm="1">
        <f t="array" ref="J232">_xlfn.IFS(H232&gt;=3.5,"Big",H232&lt;3.5,"Small")</f>
        <v>Big</v>
      </c>
    </row>
    <row r="233" spans="1:10">
      <c r="A233" t="s">
        <v>15</v>
      </c>
      <c r="B233" t="s">
        <v>12</v>
      </c>
      <c r="C233">
        <v>49</v>
      </c>
      <c r="D233">
        <v>16.1</v>
      </c>
      <c r="E233">
        <v>216</v>
      </c>
      <c r="F233">
        <v>5550</v>
      </c>
      <c r="G233" t="s">
        <v>9</v>
      </c>
      <c r="H233">
        <f t="shared" si="3"/>
        <v>5.55</v>
      </c>
      <c r="I233" t="str" cm="1">
        <f t="array" ref="I233">_xlfn.IFS(G233="MALE","Male",G233="FEMALE","Female",G233="NA","Unknown")</f>
        <v>Male</v>
      </c>
      <c r="J233" t="str" cm="1">
        <f t="array" ref="J233">_xlfn.IFS(H233&gt;=3.5,"Big",H233&lt;3.5,"Small")</f>
        <v>Big</v>
      </c>
    </row>
    <row r="234" spans="1:10">
      <c r="A234" t="s">
        <v>15</v>
      </c>
      <c r="B234" t="s">
        <v>12</v>
      </c>
      <c r="C234">
        <v>45.5</v>
      </c>
      <c r="D234">
        <v>13.7</v>
      </c>
      <c r="E234">
        <v>214</v>
      </c>
      <c r="F234">
        <v>4650</v>
      </c>
      <c r="G234" t="s">
        <v>10</v>
      </c>
      <c r="H234">
        <f t="shared" si="3"/>
        <v>4.65</v>
      </c>
      <c r="I234" t="str" cm="1">
        <f t="array" ref="I234">_xlfn.IFS(G234="MALE","Male",G234="FEMALE","Female",G234="NA","Unknown")</f>
        <v>Female</v>
      </c>
      <c r="J234" t="str" cm="1">
        <f t="array" ref="J234">_xlfn.IFS(H234&gt;=3.5,"Big",H234&lt;3.5,"Small")</f>
        <v>Big</v>
      </c>
    </row>
    <row r="235" spans="1:10">
      <c r="A235" t="s">
        <v>15</v>
      </c>
      <c r="B235" t="s">
        <v>12</v>
      </c>
      <c r="C235">
        <v>48.4</v>
      </c>
      <c r="D235">
        <v>14.6</v>
      </c>
      <c r="E235">
        <v>213</v>
      </c>
      <c r="F235">
        <v>5850</v>
      </c>
      <c r="G235" t="s">
        <v>9</v>
      </c>
      <c r="H235">
        <f t="shared" si="3"/>
        <v>5.85</v>
      </c>
      <c r="I235" t="str" cm="1">
        <f t="array" ref="I235">_xlfn.IFS(G235="MALE","Male",G235="FEMALE","Female",G235="NA","Unknown")</f>
        <v>Male</v>
      </c>
      <c r="J235" t="str" cm="1">
        <f t="array" ref="J235">_xlfn.IFS(H235&gt;=3.5,"Big",H235&lt;3.5,"Small")</f>
        <v>Big</v>
      </c>
    </row>
    <row r="236" spans="1:10">
      <c r="A236" t="s">
        <v>15</v>
      </c>
      <c r="B236" t="s">
        <v>12</v>
      </c>
      <c r="C236">
        <v>45.8</v>
      </c>
      <c r="D236">
        <v>14.6</v>
      </c>
      <c r="E236">
        <v>210</v>
      </c>
      <c r="F236">
        <v>4200</v>
      </c>
      <c r="G236" t="s">
        <v>10</v>
      </c>
      <c r="H236">
        <f t="shared" si="3"/>
        <v>4.2</v>
      </c>
      <c r="I236" t="str" cm="1">
        <f t="array" ref="I236">_xlfn.IFS(G236="MALE","Male",G236="FEMALE","Female",G236="NA","Unknown")</f>
        <v>Female</v>
      </c>
      <c r="J236" t="str" cm="1">
        <f t="array" ref="J236">_xlfn.IFS(H236&gt;=3.5,"Big",H236&lt;3.5,"Small")</f>
        <v>Big</v>
      </c>
    </row>
    <row r="237" spans="1:10">
      <c r="A237" t="s">
        <v>15</v>
      </c>
      <c r="B237" t="s">
        <v>12</v>
      </c>
      <c r="C237">
        <v>49.3</v>
      </c>
      <c r="D237">
        <v>15.7</v>
      </c>
      <c r="E237">
        <v>217</v>
      </c>
      <c r="F237">
        <v>5850</v>
      </c>
      <c r="G237" t="s">
        <v>9</v>
      </c>
      <c r="H237">
        <f t="shared" si="3"/>
        <v>5.85</v>
      </c>
      <c r="I237" t="str" cm="1">
        <f t="array" ref="I237">_xlfn.IFS(G237="MALE","Male",G237="FEMALE","Female",G237="NA","Unknown")</f>
        <v>Male</v>
      </c>
      <c r="J237" t="str" cm="1">
        <f t="array" ref="J237">_xlfn.IFS(H237&gt;=3.5,"Big",H237&lt;3.5,"Small")</f>
        <v>Big</v>
      </c>
    </row>
    <row r="238" spans="1:10">
      <c r="A238" t="s">
        <v>15</v>
      </c>
      <c r="B238" t="s">
        <v>12</v>
      </c>
      <c r="C238">
        <v>42</v>
      </c>
      <c r="D238">
        <v>13.5</v>
      </c>
      <c r="E238">
        <v>210</v>
      </c>
      <c r="F238">
        <v>4150</v>
      </c>
      <c r="G238" t="s">
        <v>10</v>
      </c>
      <c r="H238">
        <f t="shared" si="3"/>
        <v>4.15</v>
      </c>
      <c r="I238" t="str" cm="1">
        <f t="array" ref="I238">_xlfn.IFS(G238="MALE","Male",G238="FEMALE","Female",G238="NA","Unknown")</f>
        <v>Female</v>
      </c>
      <c r="J238" t="str" cm="1">
        <f t="array" ref="J238">_xlfn.IFS(H238&gt;=3.5,"Big",H238&lt;3.5,"Small")</f>
        <v>Big</v>
      </c>
    </row>
    <row r="239" spans="1:10">
      <c r="A239" t="s">
        <v>15</v>
      </c>
      <c r="B239" t="s">
        <v>12</v>
      </c>
      <c r="C239">
        <v>49.2</v>
      </c>
      <c r="D239">
        <v>15.2</v>
      </c>
      <c r="E239">
        <v>221</v>
      </c>
      <c r="F239">
        <v>6300</v>
      </c>
      <c r="G239" t="s">
        <v>9</v>
      </c>
      <c r="H239">
        <f t="shared" si="3"/>
        <v>6.3</v>
      </c>
      <c r="I239" t="str" cm="1">
        <f t="array" ref="I239">_xlfn.IFS(G239="MALE","Male",G239="FEMALE","Female",G239="NA","Unknown")</f>
        <v>Male</v>
      </c>
      <c r="J239" t="str" cm="1">
        <f t="array" ref="J239">_xlfn.IFS(H239&gt;=3.5,"Big",H239&lt;3.5,"Small")</f>
        <v>Big</v>
      </c>
    </row>
    <row r="240" spans="1:10">
      <c r="A240" t="s">
        <v>15</v>
      </c>
      <c r="B240" t="s">
        <v>12</v>
      </c>
      <c r="C240">
        <v>46.2</v>
      </c>
      <c r="D240">
        <v>14.5</v>
      </c>
      <c r="E240">
        <v>209</v>
      </c>
      <c r="F240">
        <v>4800</v>
      </c>
      <c r="G240" t="s">
        <v>10</v>
      </c>
      <c r="H240">
        <f t="shared" si="3"/>
        <v>4.8</v>
      </c>
      <c r="I240" t="str" cm="1">
        <f t="array" ref="I240">_xlfn.IFS(G240="MALE","Male",G240="FEMALE","Female",G240="NA","Unknown")</f>
        <v>Female</v>
      </c>
      <c r="J240" t="str" cm="1">
        <f t="array" ref="J240">_xlfn.IFS(H240&gt;=3.5,"Big",H240&lt;3.5,"Small")</f>
        <v>Big</v>
      </c>
    </row>
    <row r="241" spans="1:10">
      <c r="A241" t="s">
        <v>15</v>
      </c>
      <c r="B241" t="s">
        <v>12</v>
      </c>
      <c r="C241">
        <v>48.7</v>
      </c>
      <c r="D241">
        <v>15.1</v>
      </c>
      <c r="E241">
        <v>222</v>
      </c>
      <c r="F241">
        <v>5350</v>
      </c>
      <c r="G241" t="s">
        <v>9</v>
      </c>
      <c r="H241">
        <f t="shared" si="3"/>
        <v>5.35</v>
      </c>
      <c r="I241" t="str" cm="1">
        <f t="array" ref="I241">_xlfn.IFS(G241="MALE","Male",G241="FEMALE","Female",G241="NA","Unknown")</f>
        <v>Male</v>
      </c>
      <c r="J241" t="str" cm="1">
        <f t="array" ref="J241">_xlfn.IFS(H241&gt;=3.5,"Big",H241&lt;3.5,"Small")</f>
        <v>Big</v>
      </c>
    </row>
    <row r="242" spans="1:10">
      <c r="A242" t="s">
        <v>15</v>
      </c>
      <c r="B242" t="s">
        <v>12</v>
      </c>
      <c r="C242">
        <v>50.2</v>
      </c>
      <c r="D242">
        <v>14.3</v>
      </c>
      <c r="E242">
        <v>218</v>
      </c>
      <c r="F242">
        <v>5700</v>
      </c>
      <c r="G242" t="s">
        <v>9</v>
      </c>
      <c r="H242">
        <f t="shared" si="3"/>
        <v>5.7</v>
      </c>
      <c r="I242" t="str" cm="1">
        <f t="array" ref="I242">_xlfn.IFS(G242="MALE","Male",G242="FEMALE","Female",G242="NA","Unknown")</f>
        <v>Male</v>
      </c>
      <c r="J242" t="str" cm="1">
        <f t="array" ref="J242">_xlfn.IFS(H242&gt;=3.5,"Big",H242&lt;3.5,"Small")</f>
        <v>Big</v>
      </c>
    </row>
    <row r="243" spans="1:10">
      <c r="A243" t="s">
        <v>15</v>
      </c>
      <c r="B243" t="s">
        <v>12</v>
      </c>
      <c r="C243">
        <v>45.1</v>
      </c>
      <c r="D243">
        <v>14.5</v>
      </c>
      <c r="E243">
        <v>215</v>
      </c>
      <c r="F243">
        <v>5000</v>
      </c>
      <c r="G243" t="s">
        <v>10</v>
      </c>
      <c r="H243">
        <f t="shared" si="3"/>
        <v>5</v>
      </c>
      <c r="I243" t="str" cm="1">
        <f t="array" ref="I243">_xlfn.IFS(G243="MALE","Male",G243="FEMALE","Female",G243="NA","Unknown")</f>
        <v>Female</v>
      </c>
      <c r="J243" t="str" cm="1">
        <f t="array" ref="J243">_xlfn.IFS(H243&gt;=3.5,"Big",H243&lt;3.5,"Small")</f>
        <v>Big</v>
      </c>
    </row>
    <row r="244" spans="1:10">
      <c r="A244" t="s">
        <v>15</v>
      </c>
      <c r="B244" t="s">
        <v>12</v>
      </c>
      <c r="C244">
        <v>46.5</v>
      </c>
      <c r="D244">
        <v>14.5</v>
      </c>
      <c r="E244">
        <v>213</v>
      </c>
      <c r="F244">
        <v>4400</v>
      </c>
      <c r="G244" t="s">
        <v>10</v>
      </c>
      <c r="H244">
        <f t="shared" si="3"/>
        <v>4.4</v>
      </c>
      <c r="I244" t="str" cm="1">
        <f t="array" ref="I244">_xlfn.IFS(G244="MALE","Male",G244="FEMALE","Female",G244="NA","Unknown")</f>
        <v>Female</v>
      </c>
      <c r="J244" t="str" cm="1">
        <f t="array" ref="J244">_xlfn.IFS(H244&gt;=3.5,"Big",H244&lt;3.5,"Small")</f>
        <v>Big</v>
      </c>
    </row>
    <row r="245" spans="1:10">
      <c r="A245" t="s">
        <v>15</v>
      </c>
      <c r="B245" t="s">
        <v>12</v>
      </c>
      <c r="C245">
        <v>46.3</v>
      </c>
      <c r="D245">
        <v>15.8</v>
      </c>
      <c r="E245">
        <v>215</v>
      </c>
      <c r="F245">
        <v>5050</v>
      </c>
      <c r="G245" t="s">
        <v>9</v>
      </c>
      <c r="H245">
        <f t="shared" si="3"/>
        <v>5.05</v>
      </c>
      <c r="I245" t="str" cm="1">
        <f t="array" ref="I245">_xlfn.IFS(G245="MALE","Male",G245="FEMALE","Female",G245="NA","Unknown")</f>
        <v>Male</v>
      </c>
      <c r="J245" t="str" cm="1">
        <f t="array" ref="J245">_xlfn.IFS(H245&gt;=3.5,"Big",H245&lt;3.5,"Small")</f>
        <v>Big</v>
      </c>
    </row>
    <row r="246" spans="1:10">
      <c r="A246" t="s">
        <v>15</v>
      </c>
      <c r="B246" t="s">
        <v>12</v>
      </c>
      <c r="C246">
        <v>42.9</v>
      </c>
      <c r="D246">
        <v>13.1</v>
      </c>
      <c r="E246">
        <v>215</v>
      </c>
      <c r="F246">
        <v>5000</v>
      </c>
      <c r="G246" t="s">
        <v>10</v>
      </c>
      <c r="H246">
        <f t="shared" si="3"/>
        <v>5</v>
      </c>
      <c r="I246" t="str" cm="1">
        <f t="array" ref="I246">_xlfn.IFS(G246="MALE","Male",G246="FEMALE","Female",G246="NA","Unknown")</f>
        <v>Female</v>
      </c>
      <c r="J246" t="str" cm="1">
        <f t="array" ref="J246">_xlfn.IFS(H246&gt;=3.5,"Big",H246&lt;3.5,"Small")</f>
        <v>Big</v>
      </c>
    </row>
    <row r="247" spans="1:10">
      <c r="A247" t="s">
        <v>15</v>
      </c>
      <c r="B247" t="s">
        <v>12</v>
      </c>
      <c r="C247">
        <v>46.1</v>
      </c>
      <c r="D247">
        <v>15.1</v>
      </c>
      <c r="E247">
        <v>215</v>
      </c>
      <c r="F247">
        <v>5100</v>
      </c>
      <c r="G247" t="s">
        <v>9</v>
      </c>
      <c r="H247">
        <f t="shared" si="3"/>
        <v>5.1</v>
      </c>
      <c r="I247" t="str" cm="1">
        <f t="array" ref="I247">_xlfn.IFS(G247="MALE","Male",G247="FEMALE","Female",G247="NA","Unknown")</f>
        <v>Male</v>
      </c>
      <c r="J247" t="str" cm="1">
        <f t="array" ref="J247">_xlfn.IFS(H247&gt;=3.5,"Big",H247&lt;3.5,"Small")</f>
        <v>Big</v>
      </c>
    </row>
    <row r="248" spans="1:10">
      <c r="A248" t="s">
        <v>15</v>
      </c>
      <c r="B248" t="s">
        <v>12</v>
      </c>
      <c r="C248">
        <v>44.5</v>
      </c>
      <c r="D248">
        <v>14.3</v>
      </c>
      <c r="E248">
        <v>216</v>
      </c>
      <c r="F248">
        <v>4100</v>
      </c>
      <c r="G248" t="s">
        <v>11</v>
      </c>
      <c r="H248">
        <f t="shared" si="3"/>
        <v>4.1</v>
      </c>
      <c r="I248" t="str" cm="1">
        <f t="array" ref="I248">_xlfn.IFS(G248="MALE","Male",G248="FEMALE","Female",G248="NA","Unknown")</f>
        <v>Unknown</v>
      </c>
      <c r="J248" t="str" cm="1">
        <f t="array" ref="J248">_xlfn.IFS(H248&gt;=3.5,"Big",H248&lt;3.5,"Small")</f>
        <v>Big</v>
      </c>
    </row>
    <row r="249" spans="1:10">
      <c r="A249" t="s">
        <v>15</v>
      </c>
      <c r="B249" t="s">
        <v>12</v>
      </c>
      <c r="C249">
        <v>47.8</v>
      </c>
      <c r="D249">
        <v>15</v>
      </c>
      <c r="E249">
        <v>215</v>
      </c>
      <c r="F249">
        <v>5650</v>
      </c>
      <c r="G249" t="s">
        <v>9</v>
      </c>
      <c r="H249">
        <f t="shared" si="3"/>
        <v>5.65</v>
      </c>
      <c r="I249" t="str" cm="1">
        <f t="array" ref="I249">_xlfn.IFS(G249="MALE","Male",G249="FEMALE","Female",G249="NA","Unknown")</f>
        <v>Male</v>
      </c>
      <c r="J249" t="str" cm="1">
        <f t="array" ref="J249">_xlfn.IFS(H249&gt;=3.5,"Big",H249&lt;3.5,"Small")</f>
        <v>Big</v>
      </c>
    </row>
    <row r="250" spans="1:10">
      <c r="A250" t="s">
        <v>15</v>
      </c>
      <c r="B250" t="s">
        <v>12</v>
      </c>
      <c r="C250">
        <v>48.2</v>
      </c>
      <c r="D250">
        <v>14.3</v>
      </c>
      <c r="E250">
        <v>210</v>
      </c>
      <c r="F250">
        <v>4600</v>
      </c>
      <c r="G250" t="s">
        <v>10</v>
      </c>
      <c r="H250">
        <f t="shared" si="3"/>
        <v>4.6</v>
      </c>
      <c r="I250" t="str" cm="1">
        <f t="array" ref="I250">_xlfn.IFS(G250="MALE","Male",G250="FEMALE","Female",G250="NA","Unknown")</f>
        <v>Female</v>
      </c>
      <c r="J250" t="str" cm="1">
        <f t="array" ref="J250">_xlfn.IFS(H250&gt;=3.5,"Big",H250&lt;3.5,"Small")</f>
        <v>Big</v>
      </c>
    </row>
    <row r="251" spans="1:10">
      <c r="A251" t="s">
        <v>15</v>
      </c>
      <c r="B251" t="s">
        <v>12</v>
      </c>
      <c r="C251">
        <v>50</v>
      </c>
      <c r="D251">
        <v>15.3</v>
      </c>
      <c r="E251">
        <v>220</v>
      </c>
      <c r="F251">
        <v>5550</v>
      </c>
      <c r="G251" t="s">
        <v>9</v>
      </c>
      <c r="H251">
        <f t="shared" si="3"/>
        <v>5.55</v>
      </c>
      <c r="I251" t="str" cm="1">
        <f t="array" ref="I251">_xlfn.IFS(G251="MALE","Male",G251="FEMALE","Female",G251="NA","Unknown")</f>
        <v>Male</v>
      </c>
      <c r="J251" t="str" cm="1">
        <f t="array" ref="J251">_xlfn.IFS(H251&gt;=3.5,"Big",H251&lt;3.5,"Small")</f>
        <v>Big</v>
      </c>
    </row>
    <row r="252" spans="1:10">
      <c r="A252" t="s">
        <v>15</v>
      </c>
      <c r="B252" t="s">
        <v>12</v>
      </c>
      <c r="C252">
        <v>47.3</v>
      </c>
      <c r="D252">
        <v>15.3</v>
      </c>
      <c r="E252">
        <v>222</v>
      </c>
      <c r="F252">
        <v>5250</v>
      </c>
      <c r="G252" t="s">
        <v>9</v>
      </c>
      <c r="H252">
        <f t="shared" si="3"/>
        <v>5.25</v>
      </c>
      <c r="I252" t="str" cm="1">
        <f t="array" ref="I252">_xlfn.IFS(G252="MALE","Male",G252="FEMALE","Female",G252="NA","Unknown")</f>
        <v>Male</v>
      </c>
      <c r="J252" t="str" cm="1">
        <f t="array" ref="J252">_xlfn.IFS(H252&gt;=3.5,"Big",H252&lt;3.5,"Small")</f>
        <v>Big</v>
      </c>
    </row>
    <row r="253" spans="1:10">
      <c r="A253" t="s">
        <v>15</v>
      </c>
      <c r="B253" t="s">
        <v>12</v>
      </c>
      <c r="C253">
        <v>42.8</v>
      </c>
      <c r="D253">
        <v>14.2</v>
      </c>
      <c r="E253">
        <v>209</v>
      </c>
      <c r="F253">
        <v>4700</v>
      </c>
      <c r="G253" t="s">
        <v>10</v>
      </c>
      <c r="H253">
        <f t="shared" si="3"/>
        <v>4.7</v>
      </c>
      <c r="I253" t="str" cm="1">
        <f t="array" ref="I253">_xlfn.IFS(G253="MALE","Male",G253="FEMALE","Female",G253="NA","Unknown")</f>
        <v>Female</v>
      </c>
      <c r="J253" t="str" cm="1">
        <f t="array" ref="J253">_xlfn.IFS(H253&gt;=3.5,"Big",H253&lt;3.5,"Small")</f>
        <v>Big</v>
      </c>
    </row>
    <row r="254" spans="1:10">
      <c r="A254" t="s">
        <v>15</v>
      </c>
      <c r="B254" t="s">
        <v>12</v>
      </c>
      <c r="C254">
        <v>45.1</v>
      </c>
      <c r="D254">
        <v>14.5</v>
      </c>
      <c r="E254">
        <v>207</v>
      </c>
      <c r="F254">
        <v>5050</v>
      </c>
      <c r="G254" t="s">
        <v>10</v>
      </c>
      <c r="H254">
        <f t="shared" si="3"/>
        <v>5.05</v>
      </c>
      <c r="I254" t="str" cm="1">
        <f t="array" ref="I254">_xlfn.IFS(G254="MALE","Male",G254="FEMALE","Female",G254="NA","Unknown")</f>
        <v>Female</v>
      </c>
      <c r="J254" t="str" cm="1">
        <f t="array" ref="J254">_xlfn.IFS(H254&gt;=3.5,"Big",H254&lt;3.5,"Small")</f>
        <v>Big</v>
      </c>
    </row>
    <row r="255" spans="1:10">
      <c r="A255" t="s">
        <v>15</v>
      </c>
      <c r="B255" t="s">
        <v>12</v>
      </c>
      <c r="C255">
        <v>59.6</v>
      </c>
      <c r="D255">
        <v>17</v>
      </c>
      <c r="E255">
        <v>230</v>
      </c>
      <c r="F255">
        <v>6050</v>
      </c>
      <c r="G255" t="s">
        <v>9</v>
      </c>
      <c r="H255">
        <f t="shared" si="3"/>
        <v>6.05</v>
      </c>
      <c r="I255" t="str" cm="1">
        <f t="array" ref="I255">_xlfn.IFS(G255="MALE","Male",G255="FEMALE","Female",G255="NA","Unknown")</f>
        <v>Male</v>
      </c>
      <c r="J255" t="str" cm="1">
        <f t="array" ref="J255">_xlfn.IFS(H255&gt;=3.5,"Big",H255&lt;3.5,"Small")</f>
        <v>Big</v>
      </c>
    </row>
    <row r="256" spans="1:10">
      <c r="A256" t="s">
        <v>15</v>
      </c>
      <c r="B256" t="s">
        <v>12</v>
      </c>
      <c r="C256">
        <v>49.1</v>
      </c>
      <c r="D256">
        <v>14.8</v>
      </c>
      <c r="E256">
        <v>220</v>
      </c>
      <c r="F256">
        <v>5150</v>
      </c>
      <c r="G256" t="s">
        <v>10</v>
      </c>
      <c r="H256">
        <f t="shared" si="3"/>
        <v>5.15</v>
      </c>
      <c r="I256" t="str" cm="1">
        <f t="array" ref="I256">_xlfn.IFS(G256="MALE","Male",G256="FEMALE","Female",G256="NA","Unknown")</f>
        <v>Female</v>
      </c>
      <c r="J256" t="str" cm="1">
        <f t="array" ref="J256">_xlfn.IFS(H256&gt;=3.5,"Big",H256&lt;3.5,"Small")</f>
        <v>Big</v>
      </c>
    </row>
    <row r="257" spans="1:10">
      <c r="A257" t="s">
        <v>15</v>
      </c>
      <c r="B257" t="s">
        <v>12</v>
      </c>
      <c r="C257">
        <v>48.4</v>
      </c>
      <c r="D257">
        <v>16.3</v>
      </c>
      <c r="E257">
        <v>220</v>
      </c>
      <c r="F257">
        <v>5400</v>
      </c>
      <c r="G257" t="s">
        <v>9</v>
      </c>
      <c r="H257">
        <f t="shared" si="3"/>
        <v>5.4</v>
      </c>
      <c r="I257" t="str" cm="1">
        <f t="array" ref="I257">_xlfn.IFS(G257="MALE","Male",G257="FEMALE","Female",G257="NA","Unknown")</f>
        <v>Male</v>
      </c>
      <c r="J257" t="str" cm="1">
        <f t="array" ref="J257">_xlfn.IFS(H257&gt;=3.5,"Big",H257&lt;3.5,"Small")</f>
        <v>Big</v>
      </c>
    </row>
    <row r="258" spans="1:10">
      <c r="A258" t="s">
        <v>15</v>
      </c>
      <c r="B258" t="s">
        <v>12</v>
      </c>
      <c r="C258">
        <v>42.6</v>
      </c>
      <c r="D258">
        <v>13.7</v>
      </c>
      <c r="E258">
        <v>213</v>
      </c>
      <c r="F258">
        <v>4950</v>
      </c>
      <c r="G258" t="s">
        <v>10</v>
      </c>
      <c r="H258">
        <f t="shared" si="3"/>
        <v>4.95</v>
      </c>
      <c r="I258" t="str" cm="1">
        <f t="array" ref="I258">_xlfn.IFS(G258="MALE","Male",G258="FEMALE","Female",G258="NA","Unknown")</f>
        <v>Female</v>
      </c>
      <c r="J258" t="str" cm="1">
        <f t="array" ref="J258">_xlfn.IFS(H258&gt;=3.5,"Big",H258&lt;3.5,"Small")</f>
        <v>Big</v>
      </c>
    </row>
    <row r="259" spans="1:10">
      <c r="A259" t="s">
        <v>15</v>
      </c>
      <c r="B259" t="s">
        <v>12</v>
      </c>
      <c r="C259">
        <v>44.4</v>
      </c>
      <c r="D259">
        <v>17.3</v>
      </c>
      <c r="E259">
        <v>219</v>
      </c>
      <c r="F259">
        <v>5250</v>
      </c>
      <c r="G259" t="s">
        <v>9</v>
      </c>
      <c r="H259">
        <f t="shared" ref="H259:H322" si="4">F259/1000</f>
        <v>5.25</v>
      </c>
      <c r="I259" t="str" cm="1">
        <f t="array" ref="I259">_xlfn.IFS(G259="MALE","Male",G259="FEMALE","Female",G259="NA","Unknown")</f>
        <v>Male</v>
      </c>
      <c r="J259" t="str" cm="1">
        <f t="array" ref="J259">_xlfn.IFS(H259&gt;=3.5,"Big",H259&lt;3.5,"Small")</f>
        <v>Big</v>
      </c>
    </row>
    <row r="260" spans="1:10">
      <c r="A260" t="s">
        <v>15</v>
      </c>
      <c r="B260" t="s">
        <v>12</v>
      </c>
      <c r="C260">
        <v>44</v>
      </c>
      <c r="D260">
        <v>13.6</v>
      </c>
      <c r="E260">
        <v>208</v>
      </c>
      <c r="F260">
        <v>4350</v>
      </c>
      <c r="G260" t="s">
        <v>10</v>
      </c>
      <c r="H260">
        <f t="shared" si="4"/>
        <v>4.35</v>
      </c>
      <c r="I260" t="str" cm="1">
        <f t="array" ref="I260">_xlfn.IFS(G260="MALE","Male",G260="FEMALE","Female",G260="NA","Unknown")</f>
        <v>Female</v>
      </c>
      <c r="J260" t="str" cm="1">
        <f t="array" ref="J260">_xlfn.IFS(H260&gt;=3.5,"Big",H260&lt;3.5,"Small")</f>
        <v>Big</v>
      </c>
    </row>
    <row r="261" spans="1:10">
      <c r="A261" t="s">
        <v>15</v>
      </c>
      <c r="B261" t="s">
        <v>12</v>
      </c>
      <c r="C261">
        <v>48.7</v>
      </c>
      <c r="D261">
        <v>15.7</v>
      </c>
      <c r="E261">
        <v>208</v>
      </c>
      <c r="F261">
        <v>5350</v>
      </c>
      <c r="G261" t="s">
        <v>9</v>
      </c>
      <c r="H261">
        <f t="shared" si="4"/>
        <v>5.35</v>
      </c>
      <c r="I261" t="str" cm="1">
        <f t="array" ref="I261">_xlfn.IFS(G261="MALE","Male",G261="FEMALE","Female",G261="NA","Unknown")</f>
        <v>Male</v>
      </c>
      <c r="J261" t="str" cm="1">
        <f t="array" ref="J261">_xlfn.IFS(H261&gt;=3.5,"Big",H261&lt;3.5,"Small")</f>
        <v>Big</v>
      </c>
    </row>
    <row r="262" spans="1:10">
      <c r="A262" t="s">
        <v>15</v>
      </c>
      <c r="B262" t="s">
        <v>12</v>
      </c>
      <c r="C262">
        <v>42.7</v>
      </c>
      <c r="D262">
        <v>13.7</v>
      </c>
      <c r="E262">
        <v>208</v>
      </c>
      <c r="F262">
        <v>3950</v>
      </c>
      <c r="G262" t="s">
        <v>10</v>
      </c>
      <c r="H262">
        <f t="shared" si="4"/>
        <v>3.95</v>
      </c>
      <c r="I262" t="str" cm="1">
        <f t="array" ref="I262">_xlfn.IFS(G262="MALE","Male",G262="FEMALE","Female",G262="NA","Unknown")</f>
        <v>Female</v>
      </c>
      <c r="J262" t="str" cm="1">
        <f t="array" ref="J262">_xlfn.IFS(H262&gt;=3.5,"Big",H262&lt;3.5,"Small")</f>
        <v>Big</v>
      </c>
    </row>
    <row r="263" spans="1:10">
      <c r="A263" t="s">
        <v>15</v>
      </c>
      <c r="B263" t="s">
        <v>12</v>
      </c>
      <c r="C263">
        <v>49.6</v>
      </c>
      <c r="D263">
        <v>16</v>
      </c>
      <c r="E263">
        <v>225</v>
      </c>
      <c r="F263">
        <v>5700</v>
      </c>
      <c r="G263" t="s">
        <v>9</v>
      </c>
      <c r="H263">
        <f t="shared" si="4"/>
        <v>5.7</v>
      </c>
      <c r="I263" t="str" cm="1">
        <f t="array" ref="I263">_xlfn.IFS(G263="MALE","Male",G263="FEMALE","Female",G263="NA","Unknown")</f>
        <v>Male</v>
      </c>
      <c r="J263" t="str" cm="1">
        <f t="array" ref="J263">_xlfn.IFS(H263&gt;=3.5,"Big",H263&lt;3.5,"Small")</f>
        <v>Big</v>
      </c>
    </row>
    <row r="264" spans="1:10">
      <c r="A264" t="s">
        <v>15</v>
      </c>
      <c r="B264" t="s">
        <v>12</v>
      </c>
      <c r="C264">
        <v>45.3</v>
      </c>
      <c r="D264">
        <v>13.7</v>
      </c>
      <c r="E264">
        <v>210</v>
      </c>
      <c r="F264">
        <v>4300</v>
      </c>
      <c r="G264" t="s">
        <v>10</v>
      </c>
      <c r="H264">
        <f t="shared" si="4"/>
        <v>4.3</v>
      </c>
      <c r="I264" t="str" cm="1">
        <f t="array" ref="I264">_xlfn.IFS(G264="MALE","Male",G264="FEMALE","Female",G264="NA","Unknown")</f>
        <v>Female</v>
      </c>
      <c r="J264" t="str" cm="1">
        <f t="array" ref="J264">_xlfn.IFS(H264&gt;=3.5,"Big",H264&lt;3.5,"Small")</f>
        <v>Big</v>
      </c>
    </row>
    <row r="265" spans="1:10">
      <c r="A265" t="s">
        <v>15</v>
      </c>
      <c r="B265" t="s">
        <v>12</v>
      </c>
      <c r="C265">
        <v>49.6</v>
      </c>
      <c r="D265">
        <v>15</v>
      </c>
      <c r="E265">
        <v>216</v>
      </c>
      <c r="F265">
        <v>4750</v>
      </c>
      <c r="G265" t="s">
        <v>9</v>
      </c>
      <c r="H265">
        <f t="shared" si="4"/>
        <v>4.75</v>
      </c>
      <c r="I265" t="str" cm="1">
        <f t="array" ref="I265">_xlfn.IFS(G265="MALE","Male",G265="FEMALE","Female",G265="NA","Unknown")</f>
        <v>Male</v>
      </c>
      <c r="J265" t="str" cm="1">
        <f t="array" ref="J265">_xlfn.IFS(H265&gt;=3.5,"Big",H265&lt;3.5,"Small")</f>
        <v>Big</v>
      </c>
    </row>
    <row r="266" spans="1:10">
      <c r="A266" t="s">
        <v>15</v>
      </c>
      <c r="B266" t="s">
        <v>12</v>
      </c>
      <c r="C266">
        <v>50.5</v>
      </c>
      <c r="D266">
        <v>15.9</v>
      </c>
      <c r="E266">
        <v>222</v>
      </c>
      <c r="F266">
        <v>5550</v>
      </c>
      <c r="G266" t="s">
        <v>9</v>
      </c>
      <c r="H266">
        <f t="shared" si="4"/>
        <v>5.55</v>
      </c>
      <c r="I266" t="str" cm="1">
        <f t="array" ref="I266">_xlfn.IFS(G266="MALE","Male",G266="FEMALE","Female",G266="NA","Unknown")</f>
        <v>Male</v>
      </c>
      <c r="J266" t="str" cm="1">
        <f t="array" ref="J266">_xlfn.IFS(H266&gt;=3.5,"Big",H266&lt;3.5,"Small")</f>
        <v>Big</v>
      </c>
    </row>
    <row r="267" spans="1:10">
      <c r="A267" t="s">
        <v>15</v>
      </c>
      <c r="B267" t="s">
        <v>12</v>
      </c>
      <c r="C267">
        <v>43.6</v>
      </c>
      <c r="D267">
        <v>13.9</v>
      </c>
      <c r="E267">
        <v>217</v>
      </c>
      <c r="F267">
        <v>4900</v>
      </c>
      <c r="G267" t="s">
        <v>10</v>
      </c>
      <c r="H267">
        <f t="shared" si="4"/>
        <v>4.9</v>
      </c>
      <c r="I267" t="str" cm="1">
        <f t="array" ref="I267">_xlfn.IFS(G267="MALE","Male",G267="FEMALE","Female",G267="NA","Unknown")</f>
        <v>Female</v>
      </c>
      <c r="J267" t="str" cm="1">
        <f t="array" ref="J267">_xlfn.IFS(H267&gt;=3.5,"Big",H267&lt;3.5,"Small")</f>
        <v>Big</v>
      </c>
    </row>
    <row r="268" spans="1:10">
      <c r="A268" t="s">
        <v>15</v>
      </c>
      <c r="B268" t="s">
        <v>12</v>
      </c>
      <c r="C268">
        <v>45.5</v>
      </c>
      <c r="D268">
        <v>13.9</v>
      </c>
      <c r="E268">
        <v>210</v>
      </c>
      <c r="F268">
        <v>4200</v>
      </c>
      <c r="G268" t="s">
        <v>10</v>
      </c>
      <c r="H268">
        <f t="shared" si="4"/>
        <v>4.2</v>
      </c>
      <c r="I268" t="str" cm="1">
        <f t="array" ref="I268">_xlfn.IFS(G268="MALE","Male",G268="FEMALE","Female",G268="NA","Unknown")</f>
        <v>Female</v>
      </c>
      <c r="J268" t="str" cm="1">
        <f t="array" ref="J268">_xlfn.IFS(H268&gt;=3.5,"Big",H268&lt;3.5,"Small")</f>
        <v>Big</v>
      </c>
    </row>
    <row r="269" spans="1:10">
      <c r="A269" t="s">
        <v>15</v>
      </c>
      <c r="B269" t="s">
        <v>12</v>
      </c>
      <c r="C269">
        <v>50.5</v>
      </c>
      <c r="D269">
        <v>15.9</v>
      </c>
      <c r="E269">
        <v>225</v>
      </c>
      <c r="F269">
        <v>5400</v>
      </c>
      <c r="G269" t="s">
        <v>9</v>
      </c>
      <c r="H269">
        <f t="shared" si="4"/>
        <v>5.4</v>
      </c>
      <c r="I269" t="str" cm="1">
        <f t="array" ref="I269">_xlfn.IFS(G269="MALE","Male",G269="FEMALE","Female",G269="NA","Unknown")</f>
        <v>Male</v>
      </c>
      <c r="J269" t="str" cm="1">
        <f t="array" ref="J269">_xlfn.IFS(H269&gt;=3.5,"Big",H269&lt;3.5,"Small")</f>
        <v>Big</v>
      </c>
    </row>
    <row r="270" spans="1:10">
      <c r="A270" t="s">
        <v>15</v>
      </c>
      <c r="B270" t="s">
        <v>12</v>
      </c>
      <c r="C270">
        <v>44.9</v>
      </c>
      <c r="D270">
        <v>13.3</v>
      </c>
      <c r="E270">
        <v>213</v>
      </c>
      <c r="F270">
        <v>5100</v>
      </c>
      <c r="G270" t="s">
        <v>10</v>
      </c>
      <c r="H270">
        <f t="shared" si="4"/>
        <v>5.1</v>
      </c>
      <c r="I270" t="str" cm="1">
        <f t="array" ref="I270">_xlfn.IFS(G270="MALE","Male",G270="FEMALE","Female",G270="NA","Unknown")</f>
        <v>Female</v>
      </c>
      <c r="J270" t="str" cm="1">
        <f t="array" ref="J270">_xlfn.IFS(H270&gt;=3.5,"Big",H270&lt;3.5,"Small")</f>
        <v>Big</v>
      </c>
    </row>
    <row r="271" spans="1:10">
      <c r="A271" t="s">
        <v>15</v>
      </c>
      <c r="B271" t="s">
        <v>12</v>
      </c>
      <c r="C271">
        <v>45.2</v>
      </c>
      <c r="D271">
        <v>15.8</v>
      </c>
      <c r="E271">
        <v>215</v>
      </c>
      <c r="F271">
        <v>5300</v>
      </c>
      <c r="G271" t="s">
        <v>9</v>
      </c>
      <c r="H271">
        <f t="shared" si="4"/>
        <v>5.3</v>
      </c>
      <c r="I271" t="str" cm="1">
        <f t="array" ref="I271">_xlfn.IFS(G271="MALE","Male",G271="FEMALE","Female",G271="NA","Unknown")</f>
        <v>Male</v>
      </c>
      <c r="J271" t="str" cm="1">
        <f t="array" ref="J271">_xlfn.IFS(H271&gt;=3.5,"Big",H271&lt;3.5,"Small")</f>
        <v>Big</v>
      </c>
    </row>
    <row r="272" spans="1:10">
      <c r="A272" t="s">
        <v>15</v>
      </c>
      <c r="B272" t="s">
        <v>12</v>
      </c>
      <c r="C272">
        <v>46.6</v>
      </c>
      <c r="D272">
        <v>14.2</v>
      </c>
      <c r="E272">
        <v>210</v>
      </c>
      <c r="F272">
        <v>4850</v>
      </c>
      <c r="G272" t="s">
        <v>10</v>
      </c>
      <c r="H272">
        <f t="shared" si="4"/>
        <v>4.85</v>
      </c>
      <c r="I272" t="str" cm="1">
        <f t="array" ref="I272">_xlfn.IFS(G272="MALE","Male",G272="FEMALE","Female",G272="NA","Unknown")</f>
        <v>Female</v>
      </c>
      <c r="J272" t="str" cm="1">
        <f t="array" ref="J272">_xlfn.IFS(H272&gt;=3.5,"Big",H272&lt;3.5,"Small")</f>
        <v>Big</v>
      </c>
    </row>
    <row r="273" spans="1:10">
      <c r="A273" t="s">
        <v>15</v>
      </c>
      <c r="B273" t="s">
        <v>12</v>
      </c>
      <c r="C273">
        <v>48.5</v>
      </c>
      <c r="D273">
        <v>14.1</v>
      </c>
      <c r="E273">
        <v>220</v>
      </c>
      <c r="F273">
        <v>5300</v>
      </c>
      <c r="G273" t="s">
        <v>9</v>
      </c>
      <c r="H273">
        <f t="shared" si="4"/>
        <v>5.3</v>
      </c>
      <c r="I273" t="str" cm="1">
        <f t="array" ref="I273">_xlfn.IFS(G273="MALE","Male",G273="FEMALE","Female",G273="NA","Unknown")</f>
        <v>Male</v>
      </c>
      <c r="J273" t="str" cm="1">
        <f t="array" ref="J273">_xlfn.IFS(H273&gt;=3.5,"Big",H273&lt;3.5,"Small")</f>
        <v>Big</v>
      </c>
    </row>
    <row r="274" spans="1:10">
      <c r="A274" t="s">
        <v>15</v>
      </c>
      <c r="B274" t="s">
        <v>12</v>
      </c>
      <c r="C274">
        <v>45.1</v>
      </c>
      <c r="D274">
        <v>14.4</v>
      </c>
      <c r="E274">
        <v>210</v>
      </c>
      <c r="F274">
        <v>4400</v>
      </c>
      <c r="G274" t="s">
        <v>10</v>
      </c>
      <c r="H274">
        <f t="shared" si="4"/>
        <v>4.4</v>
      </c>
      <c r="I274" t="str" cm="1">
        <f t="array" ref="I274">_xlfn.IFS(G274="MALE","Male",G274="FEMALE","Female",G274="NA","Unknown")</f>
        <v>Female</v>
      </c>
      <c r="J274" t="str" cm="1">
        <f t="array" ref="J274">_xlfn.IFS(H274&gt;=3.5,"Big",H274&lt;3.5,"Small")</f>
        <v>Big</v>
      </c>
    </row>
    <row r="275" spans="1:10">
      <c r="A275" t="s">
        <v>15</v>
      </c>
      <c r="B275" t="s">
        <v>12</v>
      </c>
      <c r="C275">
        <v>50.1</v>
      </c>
      <c r="D275">
        <v>15</v>
      </c>
      <c r="E275">
        <v>225</v>
      </c>
      <c r="F275">
        <v>5000</v>
      </c>
      <c r="G275" t="s">
        <v>9</v>
      </c>
      <c r="H275">
        <f t="shared" si="4"/>
        <v>5</v>
      </c>
      <c r="I275" t="str" cm="1">
        <f t="array" ref="I275">_xlfn.IFS(G275="MALE","Male",G275="FEMALE","Female",G275="NA","Unknown")</f>
        <v>Male</v>
      </c>
      <c r="J275" t="str" cm="1">
        <f t="array" ref="J275">_xlfn.IFS(H275&gt;=3.5,"Big",H275&lt;3.5,"Small")</f>
        <v>Big</v>
      </c>
    </row>
    <row r="276" spans="1:10">
      <c r="A276" t="s">
        <v>15</v>
      </c>
      <c r="B276" t="s">
        <v>12</v>
      </c>
      <c r="C276">
        <v>46.5</v>
      </c>
      <c r="D276">
        <v>14.4</v>
      </c>
      <c r="E276">
        <v>217</v>
      </c>
      <c r="F276">
        <v>4900</v>
      </c>
      <c r="G276" t="s">
        <v>10</v>
      </c>
      <c r="H276">
        <f t="shared" si="4"/>
        <v>4.9</v>
      </c>
      <c r="I276" t="str" cm="1">
        <f t="array" ref="I276">_xlfn.IFS(G276="MALE","Male",G276="FEMALE","Female",G276="NA","Unknown")</f>
        <v>Female</v>
      </c>
      <c r="J276" t="str" cm="1">
        <f t="array" ref="J276">_xlfn.IFS(H276&gt;=3.5,"Big",H276&lt;3.5,"Small")</f>
        <v>Big</v>
      </c>
    </row>
    <row r="277" spans="1:10">
      <c r="A277" t="s">
        <v>15</v>
      </c>
      <c r="B277" t="s">
        <v>12</v>
      </c>
      <c r="C277">
        <v>45</v>
      </c>
      <c r="D277">
        <v>15.4</v>
      </c>
      <c r="E277">
        <v>220</v>
      </c>
      <c r="F277">
        <v>5050</v>
      </c>
      <c r="G277" t="s">
        <v>9</v>
      </c>
      <c r="H277">
        <f t="shared" si="4"/>
        <v>5.05</v>
      </c>
      <c r="I277" t="str" cm="1">
        <f t="array" ref="I277">_xlfn.IFS(G277="MALE","Male",G277="FEMALE","Female",G277="NA","Unknown")</f>
        <v>Male</v>
      </c>
      <c r="J277" t="str" cm="1">
        <f t="array" ref="J277">_xlfn.IFS(H277&gt;=3.5,"Big",H277&lt;3.5,"Small")</f>
        <v>Big</v>
      </c>
    </row>
    <row r="278" spans="1:10">
      <c r="A278" t="s">
        <v>15</v>
      </c>
      <c r="B278" t="s">
        <v>12</v>
      </c>
      <c r="C278">
        <v>43.8</v>
      </c>
      <c r="D278">
        <v>13.9</v>
      </c>
      <c r="E278">
        <v>208</v>
      </c>
      <c r="F278">
        <v>4300</v>
      </c>
      <c r="G278" t="s">
        <v>10</v>
      </c>
      <c r="H278">
        <f t="shared" si="4"/>
        <v>4.3</v>
      </c>
      <c r="I278" t="str" cm="1">
        <f t="array" ref="I278">_xlfn.IFS(G278="MALE","Male",G278="FEMALE","Female",G278="NA","Unknown")</f>
        <v>Female</v>
      </c>
      <c r="J278" t="str" cm="1">
        <f t="array" ref="J278">_xlfn.IFS(H278&gt;=3.5,"Big",H278&lt;3.5,"Small")</f>
        <v>Big</v>
      </c>
    </row>
    <row r="279" spans="1:10">
      <c r="A279" t="s">
        <v>15</v>
      </c>
      <c r="B279" t="s">
        <v>12</v>
      </c>
      <c r="C279">
        <v>45.5</v>
      </c>
      <c r="D279">
        <v>15</v>
      </c>
      <c r="E279">
        <v>220</v>
      </c>
      <c r="F279">
        <v>5000</v>
      </c>
      <c r="G279" t="s">
        <v>9</v>
      </c>
      <c r="H279">
        <f t="shared" si="4"/>
        <v>5</v>
      </c>
      <c r="I279" t="str" cm="1">
        <f t="array" ref="I279">_xlfn.IFS(G279="MALE","Male",G279="FEMALE","Female",G279="NA","Unknown")</f>
        <v>Male</v>
      </c>
      <c r="J279" t="str" cm="1">
        <f t="array" ref="J279">_xlfn.IFS(H279&gt;=3.5,"Big",H279&lt;3.5,"Small")</f>
        <v>Big</v>
      </c>
    </row>
    <row r="280" spans="1:10">
      <c r="A280" t="s">
        <v>15</v>
      </c>
      <c r="B280" t="s">
        <v>12</v>
      </c>
      <c r="C280">
        <v>43.2</v>
      </c>
      <c r="D280">
        <v>14.5</v>
      </c>
      <c r="E280">
        <v>208</v>
      </c>
      <c r="F280">
        <v>4450</v>
      </c>
      <c r="G280" t="s">
        <v>10</v>
      </c>
      <c r="H280">
        <f t="shared" si="4"/>
        <v>4.45</v>
      </c>
      <c r="I280" t="str" cm="1">
        <f t="array" ref="I280">_xlfn.IFS(G280="MALE","Male",G280="FEMALE","Female",G280="NA","Unknown")</f>
        <v>Female</v>
      </c>
      <c r="J280" t="str" cm="1">
        <f t="array" ref="J280">_xlfn.IFS(H280&gt;=3.5,"Big",H280&lt;3.5,"Small")</f>
        <v>Big</v>
      </c>
    </row>
    <row r="281" spans="1:10">
      <c r="A281" t="s">
        <v>15</v>
      </c>
      <c r="B281" t="s">
        <v>12</v>
      </c>
      <c r="C281">
        <v>50.4</v>
      </c>
      <c r="D281">
        <v>15.3</v>
      </c>
      <c r="E281">
        <v>224</v>
      </c>
      <c r="F281">
        <v>5550</v>
      </c>
      <c r="G281" t="s">
        <v>9</v>
      </c>
      <c r="H281">
        <f t="shared" si="4"/>
        <v>5.55</v>
      </c>
      <c r="I281" t="str" cm="1">
        <f t="array" ref="I281">_xlfn.IFS(G281="MALE","Male",G281="FEMALE","Female",G281="NA","Unknown")</f>
        <v>Male</v>
      </c>
      <c r="J281" t="str" cm="1">
        <f t="array" ref="J281">_xlfn.IFS(H281&gt;=3.5,"Big",H281&lt;3.5,"Small")</f>
        <v>Big</v>
      </c>
    </row>
    <row r="282" spans="1:10">
      <c r="A282" t="s">
        <v>15</v>
      </c>
      <c r="B282" t="s">
        <v>12</v>
      </c>
      <c r="C282">
        <v>45.3</v>
      </c>
      <c r="D282">
        <v>13.8</v>
      </c>
      <c r="E282">
        <v>208</v>
      </c>
      <c r="F282">
        <v>4200</v>
      </c>
      <c r="G282" t="s">
        <v>10</v>
      </c>
      <c r="H282">
        <f t="shared" si="4"/>
        <v>4.2</v>
      </c>
      <c r="I282" t="str" cm="1">
        <f t="array" ref="I282">_xlfn.IFS(G282="MALE","Male",G282="FEMALE","Female",G282="NA","Unknown")</f>
        <v>Female</v>
      </c>
      <c r="J282" t="str" cm="1">
        <f t="array" ref="J282">_xlfn.IFS(H282&gt;=3.5,"Big",H282&lt;3.5,"Small")</f>
        <v>Big</v>
      </c>
    </row>
    <row r="283" spans="1:10">
      <c r="A283" t="s">
        <v>15</v>
      </c>
      <c r="B283" t="s">
        <v>12</v>
      </c>
      <c r="C283">
        <v>46.2</v>
      </c>
      <c r="D283">
        <v>14.9</v>
      </c>
      <c r="E283">
        <v>221</v>
      </c>
      <c r="F283">
        <v>5300</v>
      </c>
      <c r="G283" t="s">
        <v>9</v>
      </c>
      <c r="H283">
        <f t="shared" si="4"/>
        <v>5.3</v>
      </c>
      <c r="I283" t="str" cm="1">
        <f t="array" ref="I283">_xlfn.IFS(G283="MALE","Male",G283="FEMALE","Female",G283="NA","Unknown")</f>
        <v>Male</v>
      </c>
      <c r="J283" t="str" cm="1">
        <f t="array" ref="J283">_xlfn.IFS(H283&gt;=3.5,"Big",H283&lt;3.5,"Small")</f>
        <v>Big</v>
      </c>
    </row>
    <row r="284" spans="1:10">
      <c r="A284" t="s">
        <v>15</v>
      </c>
      <c r="B284" t="s">
        <v>12</v>
      </c>
      <c r="C284">
        <v>45.7</v>
      </c>
      <c r="D284">
        <v>13.9</v>
      </c>
      <c r="E284">
        <v>214</v>
      </c>
      <c r="F284">
        <v>4400</v>
      </c>
      <c r="G284" t="s">
        <v>10</v>
      </c>
      <c r="H284">
        <f t="shared" si="4"/>
        <v>4.4</v>
      </c>
      <c r="I284" t="str" cm="1">
        <f t="array" ref="I284">_xlfn.IFS(G284="MALE","Male",G284="FEMALE","Female",G284="NA","Unknown")</f>
        <v>Female</v>
      </c>
      <c r="J284" t="str" cm="1">
        <f t="array" ref="J284">_xlfn.IFS(H284&gt;=3.5,"Big",H284&lt;3.5,"Small")</f>
        <v>Big</v>
      </c>
    </row>
    <row r="285" spans="1:10">
      <c r="A285" t="s">
        <v>15</v>
      </c>
      <c r="B285" t="s">
        <v>12</v>
      </c>
      <c r="C285">
        <v>54.3</v>
      </c>
      <c r="D285">
        <v>15.7</v>
      </c>
      <c r="E285">
        <v>231</v>
      </c>
      <c r="F285">
        <v>5650</v>
      </c>
      <c r="G285" t="s">
        <v>9</v>
      </c>
      <c r="H285">
        <f t="shared" si="4"/>
        <v>5.65</v>
      </c>
      <c r="I285" t="str" cm="1">
        <f t="array" ref="I285">_xlfn.IFS(G285="MALE","Male",G285="FEMALE","Female",G285="NA","Unknown")</f>
        <v>Male</v>
      </c>
      <c r="J285" t="str" cm="1">
        <f t="array" ref="J285">_xlfn.IFS(H285&gt;=3.5,"Big",H285&lt;3.5,"Small")</f>
        <v>Big</v>
      </c>
    </row>
    <row r="286" spans="1:10">
      <c r="A286" t="s">
        <v>15</v>
      </c>
      <c r="B286" t="s">
        <v>12</v>
      </c>
      <c r="C286">
        <v>45.8</v>
      </c>
      <c r="D286">
        <v>14.2</v>
      </c>
      <c r="E286">
        <v>219</v>
      </c>
      <c r="F286">
        <v>4700</v>
      </c>
      <c r="G286" t="s">
        <v>10</v>
      </c>
      <c r="H286">
        <f t="shared" si="4"/>
        <v>4.7</v>
      </c>
      <c r="I286" t="str" cm="1">
        <f t="array" ref="I286">_xlfn.IFS(G286="MALE","Male",G286="FEMALE","Female",G286="NA","Unknown")</f>
        <v>Female</v>
      </c>
      <c r="J286" t="str" cm="1">
        <f t="array" ref="J286">_xlfn.IFS(H286&gt;=3.5,"Big",H286&lt;3.5,"Small")</f>
        <v>Big</v>
      </c>
    </row>
    <row r="287" spans="1:10">
      <c r="A287" t="s">
        <v>15</v>
      </c>
      <c r="B287" t="s">
        <v>12</v>
      </c>
      <c r="C287">
        <v>49.8</v>
      </c>
      <c r="D287">
        <v>16.8</v>
      </c>
      <c r="E287">
        <v>230</v>
      </c>
      <c r="F287">
        <v>5700</v>
      </c>
      <c r="G287" t="s">
        <v>9</v>
      </c>
      <c r="H287">
        <f t="shared" si="4"/>
        <v>5.7</v>
      </c>
      <c r="I287" t="str" cm="1">
        <f t="array" ref="I287">_xlfn.IFS(G287="MALE","Male",G287="FEMALE","Female",G287="NA","Unknown")</f>
        <v>Male</v>
      </c>
      <c r="J287" t="str" cm="1">
        <f t="array" ref="J287">_xlfn.IFS(H287&gt;=3.5,"Big",H287&lt;3.5,"Small")</f>
        <v>Big</v>
      </c>
    </row>
    <row r="288" spans="1:10">
      <c r="A288" t="s">
        <v>15</v>
      </c>
      <c r="B288" t="s">
        <v>12</v>
      </c>
      <c r="C288">
        <v>46.2</v>
      </c>
      <c r="D288">
        <v>14.4</v>
      </c>
      <c r="E288">
        <v>214</v>
      </c>
      <c r="F288">
        <v>4650</v>
      </c>
      <c r="G288" t="s">
        <v>11</v>
      </c>
      <c r="H288">
        <f t="shared" si="4"/>
        <v>4.65</v>
      </c>
      <c r="I288" t="str" cm="1">
        <f t="array" ref="I288">_xlfn.IFS(G288="MALE","Male",G288="FEMALE","Female",G288="NA","Unknown")</f>
        <v>Unknown</v>
      </c>
      <c r="J288" t="str" cm="1">
        <f t="array" ref="J288">_xlfn.IFS(H288&gt;=3.5,"Big",H288&lt;3.5,"Small")</f>
        <v>Big</v>
      </c>
    </row>
    <row r="289" spans="1:10">
      <c r="A289" t="s">
        <v>15</v>
      </c>
      <c r="B289" t="s">
        <v>12</v>
      </c>
      <c r="C289">
        <v>49.5</v>
      </c>
      <c r="D289">
        <v>16.2</v>
      </c>
      <c r="E289">
        <v>229</v>
      </c>
      <c r="F289">
        <v>5800</v>
      </c>
      <c r="G289" t="s">
        <v>9</v>
      </c>
      <c r="H289">
        <f t="shared" si="4"/>
        <v>5.8</v>
      </c>
      <c r="I289" t="str" cm="1">
        <f t="array" ref="I289">_xlfn.IFS(G289="MALE","Male",G289="FEMALE","Female",G289="NA","Unknown")</f>
        <v>Male</v>
      </c>
      <c r="J289" t="str" cm="1">
        <f t="array" ref="J289">_xlfn.IFS(H289&gt;=3.5,"Big",H289&lt;3.5,"Small")</f>
        <v>Big</v>
      </c>
    </row>
    <row r="290" spans="1:10">
      <c r="A290" t="s">
        <v>15</v>
      </c>
      <c r="B290" t="s">
        <v>12</v>
      </c>
      <c r="C290">
        <v>43.5</v>
      </c>
      <c r="D290">
        <v>14.2</v>
      </c>
      <c r="E290">
        <v>220</v>
      </c>
      <c r="F290">
        <v>4700</v>
      </c>
      <c r="G290" t="s">
        <v>10</v>
      </c>
      <c r="H290">
        <f t="shared" si="4"/>
        <v>4.7</v>
      </c>
      <c r="I290" t="str" cm="1">
        <f t="array" ref="I290">_xlfn.IFS(G290="MALE","Male",G290="FEMALE","Female",G290="NA","Unknown")</f>
        <v>Female</v>
      </c>
      <c r="J290" t="str" cm="1">
        <f t="array" ref="J290">_xlfn.IFS(H290&gt;=3.5,"Big",H290&lt;3.5,"Small")</f>
        <v>Big</v>
      </c>
    </row>
    <row r="291" spans="1:10">
      <c r="A291" t="s">
        <v>15</v>
      </c>
      <c r="B291" t="s">
        <v>12</v>
      </c>
      <c r="C291">
        <v>50.7</v>
      </c>
      <c r="D291">
        <v>15</v>
      </c>
      <c r="E291">
        <v>223</v>
      </c>
      <c r="F291">
        <v>5550</v>
      </c>
      <c r="G291" t="s">
        <v>9</v>
      </c>
      <c r="H291">
        <f t="shared" si="4"/>
        <v>5.55</v>
      </c>
      <c r="I291" t="str" cm="1">
        <f t="array" ref="I291">_xlfn.IFS(G291="MALE","Male",G291="FEMALE","Female",G291="NA","Unknown")</f>
        <v>Male</v>
      </c>
      <c r="J291" t="str" cm="1">
        <f t="array" ref="J291">_xlfn.IFS(H291&gt;=3.5,"Big",H291&lt;3.5,"Small")</f>
        <v>Big</v>
      </c>
    </row>
    <row r="292" spans="1:10">
      <c r="A292" t="s">
        <v>15</v>
      </c>
      <c r="B292" t="s">
        <v>12</v>
      </c>
      <c r="C292">
        <v>47.7</v>
      </c>
      <c r="D292">
        <v>15</v>
      </c>
      <c r="E292">
        <v>216</v>
      </c>
      <c r="F292">
        <v>4750</v>
      </c>
      <c r="G292" t="s">
        <v>10</v>
      </c>
      <c r="H292">
        <f t="shared" si="4"/>
        <v>4.75</v>
      </c>
      <c r="I292" t="str" cm="1">
        <f t="array" ref="I292">_xlfn.IFS(G292="MALE","Male",G292="FEMALE","Female",G292="NA","Unknown")</f>
        <v>Female</v>
      </c>
      <c r="J292" t="str" cm="1">
        <f t="array" ref="J292">_xlfn.IFS(H292&gt;=3.5,"Big",H292&lt;3.5,"Small")</f>
        <v>Big</v>
      </c>
    </row>
    <row r="293" spans="1:10">
      <c r="A293" t="s">
        <v>15</v>
      </c>
      <c r="B293" t="s">
        <v>12</v>
      </c>
      <c r="C293">
        <v>46.4</v>
      </c>
      <c r="D293">
        <v>15.6</v>
      </c>
      <c r="E293">
        <v>221</v>
      </c>
      <c r="F293">
        <v>5000</v>
      </c>
      <c r="G293" t="s">
        <v>9</v>
      </c>
      <c r="H293">
        <f t="shared" si="4"/>
        <v>5</v>
      </c>
      <c r="I293" t="str" cm="1">
        <f t="array" ref="I293">_xlfn.IFS(G293="MALE","Male",G293="FEMALE","Female",G293="NA","Unknown")</f>
        <v>Male</v>
      </c>
      <c r="J293" t="str" cm="1">
        <f t="array" ref="J293">_xlfn.IFS(H293&gt;=3.5,"Big",H293&lt;3.5,"Small")</f>
        <v>Big</v>
      </c>
    </row>
    <row r="294" spans="1:10">
      <c r="A294" t="s">
        <v>15</v>
      </c>
      <c r="B294" t="s">
        <v>12</v>
      </c>
      <c r="C294">
        <v>48.2</v>
      </c>
      <c r="D294">
        <v>15.6</v>
      </c>
      <c r="E294">
        <v>221</v>
      </c>
      <c r="F294">
        <v>5100</v>
      </c>
      <c r="G294" t="s">
        <v>9</v>
      </c>
      <c r="H294">
        <f t="shared" si="4"/>
        <v>5.1</v>
      </c>
      <c r="I294" t="str" cm="1">
        <f t="array" ref="I294">_xlfn.IFS(G294="MALE","Male",G294="FEMALE","Female",G294="NA","Unknown")</f>
        <v>Male</v>
      </c>
      <c r="J294" t="str" cm="1">
        <f t="array" ref="J294">_xlfn.IFS(H294&gt;=3.5,"Big",H294&lt;3.5,"Small")</f>
        <v>Big</v>
      </c>
    </row>
    <row r="295" spans="1:10">
      <c r="A295" t="s">
        <v>15</v>
      </c>
      <c r="B295" t="s">
        <v>12</v>
      </c>
      <c r="C295">
        <v>46.5</v>
      </c>
      <c r="D295">
        <v>14.8</v>
      </c>
      <c r="E295">
        <v>217</v>
      </c>
      <c r="F295">
        <v>5200</v>
      </c>
      <c r="G295" t="s">
        <v>10</v>
      </c>
      <c r="H295">
        <f t="shared" si="4"/>
        <v>5.2</v>
      </c>
      <c r="I295" t="str" cm="1">
        <f t="array" ref="I295">_xlfn.IFS(G295="MALE","Male",G295="FEMALE","Female",G295="NA","Unknown")</f>
        <v>Female</v>
      </c>
      <c r="J295" t="str" cm="1">
        <f t="array" ref="J295">_xlfn.IFS(H295&gt;=3.5,"Big",H295&lt;3.5,"Small")</f>
        <v>Big</v>
      </c>
    </row>
    <row r="296" spans="1:10">
      <c r="A296" t="s">
        <v>15</v>
      </c>
      <c r="B296" t="s">
        <v>12</v>
      </c>
      <c r="C296">
        <v>46.4</v>
      </c>
      <c r="D296">
        <v>15</v>
      </c>
      <c r="E296">
        <v>216</v>
      </c>
      <c r="F296">
        <v>4700</v>
      </c>
      <c r="G296" t="s">
        <v>10</v>
      </c>
      <c r="H296">
        <f t="shared" si="4"/>
        <v>4.7</v>
      </c>
      <c r="I296" t="str" cm="1">
        <f t="array" ref="I296">_xlfn.IFS(G296="MALE","Male",G296="FEMALE","Female",G296="NA","Unknown")</f>
        <v>Female</v>
      </c>
      <c r="J296" t="str" cm="1">
        <f t="array" ref="J296">_xlfn.IFS(H296&gt;=3.5,"Big",H296&lt;3.5,"Small")</f>
        <v>Big</v>
      </c>
    </row>
    <row r="297" spans="1:10">
      <c r="A297" t="s">
        <v>15</v>
      </c>
      <c r="B297" t="s">
        <v>12</v>
      </c>
      <c r="C297">
        <v>48.6</v>
      </c>
      <c r="D297">
        <v>16</v>
      </c>
      <c r="E297">
        <v>230</v>
      </c>
      <c r="F297">
        <v>5800</v>
      </c>
      <c r="G297" t="s">
        <v>9</v>
      </c>
      <c r="H297">
        <f t="shared" si="4"/>
        <v>5.8</v>
      </c>
      <c r="I297" t="str" cm="1">
        <f t="array" ref="I297">_xlfn.IFS(G297="MALE","Male",G297="FEMALE","Female",G297="NA","Unknown")</f>
        <v>Male</v>
      </c>
      <c r="J297" t="str" cm="1">
        <f t="array" ref="J297">_xlfn.IFS(H297&gt;=3.5,"Big",H297&lt;3.5,"Small")</f>
        <v>Big</v>
      </c>
    </row>
    <row r="298" spans="1:10">
      <c r="A298" t="s">
        <v>15</v>
      </c>
      <c r="B298" t="s">
        <v>12</v>
      </c>
      <c r="C298">
        <v>47.5</v>
      </c>
      <c r="D298">
        <v>14.2</v>
      </c>
      <c r="E298">
        <v>209</v>
      </c>
      <c r="F298">
        <v>4600</v>
      </c>
      <c r="G298" t="s">
        <v>10</v>
      </c>
      <c r="H298">
        <f t="shared" si="4"/>
        <v>4.6</v>
      </c>
      <c r="I298" t="str" cm="1">
        <f t="array" ref="I298">_xlfn.IFS(G298="MALE","Male",G298="FEMALE","Female",G298="NA","Unknown")</f>
        <v>Female</v>
      </c>
      <c r="J298" t="str" cm="1">
        <f t="array" ref="J298">_xlfn.IFS(H298&gt;=3.5,"Big",H298&lt;3.5,"Small")</f>
        <v>Big</v>
      </c>
    </row>
    <row r="299" spans="1:10">
      <c r="A299" t="s">
        <v>15</v>
      </c>
      <c r="B299" t="s">
        <v>12</v>
      </c>
      <c r="C299">
        <v>51.1</v>
      </c>
      <c r="D299">
        <v>16.3</v>
      </c>
      <c r="E299">
        <v>220</v>
      </c>
      <c r="F299">
        <v>6000</v>
      </c>
      <c r="G299" t="s">
        <v>9</v>
      </c>
      <c r="H299">
        <f t="shared" si="4"/>
        <v>6</v>
      </c>
      <c r="I299" t="str" cm="1">
        <f t="array" ref="I299">_xlfn.IFS(G299="MALE","Male",G299="FEMALE","Female",G299="NA","Unknown")</f>
        <v>Male</v>
      </c>
      <c r="J299" t="str" cm="1">
        <f t="array" ref="J299">_xlfn.IFS(H299&gt;=3.5,"Big",H299&lt;3.5,"Small")</f>
        <v>Big</v>
      </c>
    </row>
    <row r="300" spans="1:10">
      <c r="A300" t="s">
        <v>15</v>
      </c>
      <c r="B300" t="s">
        <v>12</v>
      </c>
      <c r="C300">
        <v>45.2</v>
      </c>
      <c r="D300">
        <v>13.8</v>
      </c>
      <c r="E300">
        <v>215</v>
      </c>
      <c r="F300">
        <v>4750</v>
      </c>
      <c r="G300" t="s">
        <v>10</v>
      </c>
      <c r="H300">
        <f t="shared" si="4"/>
        <v>4.75</v>
      </c>
      <c r="I300" t="str" cm="1">
        <f t="array" ref="I300">_xlfn.IFS(G300="MALE","Male",G300="FEMALE","Female",G300="NA","Unknown")</f>
        <v>Female</v>
      </c>
      <c r="J300" t="str" cm="1">
        <f t="array" ref="J300">_xlfn.IFS(H300&gt;=3.5,"Big",H300&lt;3.5,"Small")</f>
        <v>Big</v>
      </c>
    </row>
    <row r="301" spans="1:10">
      <c r="A301" t="s">
        <v>15</v>
      </c>
      <c r="B301" t="s">
        <v>12</v>
      </c>
      <c r="C301">
        <v>45.2</v>
      </c>
      <c r="D301">
        <v>16.4</v>
      </c>
      <c r="E301">
        <v>223</v>
      </c>
      <c r="F301">
        <v>5950</v>
      </c>
      <c r="G301" t="s">
        <v>9</v>
      </c>
      <c r="H301">
        <f t="shared" si="4"/>
        <v>5.95</v>
      </c>
      <c r="I301" t="str" cm="1">
        <f t="array" ref="I301">_xlfn.IFS(G301="MALE","Male",G301="FEMALE","Female",G301="NA","Unknown")</f>
        <v>Male</v>
      </c>
      <c r="J301" t="str" cm="1">
        <f t="array" ref="J301">_xlfn.IFS(H301&gt;=3.5,"Big",H301&lt;3.5,"Small")</f>
        <v>Big</v>
      </c>
    </row>
    <row r="302" spans="1:10">
      <c r="A302" t="s">
        <v>15</v>
      </c>
      <c r="B302" t="s">
        <v>12</v>
      </c>
      <c r="C302">
        <v>49.1</v>
      </c>
      <c r="D302">
        <v>14.5</v>
      </c>
      <c r="E302">
        <v>212</v>
      </c>
      <c r="F302">
        <v>4625</v>
      </c>
      <c r="G302" t="s">
        <v>10</v>
      </c>
      <c r="H302">
        <f t="shared" si="4"/>
        <v>4.625</v>
      </c>
      <c r="I302" t="str" cm="1">
        <f t="array" ref="I302">_xlfn.IFS(G302="MALE","Male",G302="FEMALE","Female",G302="NA","Unknown")</f>
        <v>Female</v>
      </c>
      <c r="J302" t="str" cm="1">
        <f t="array" ref="J302">_xlfn.IFS(H302&gt;=3.5,"Big",H302&lt;3.5,"Small")</f>
        <v>Big</v>
      </c>
    </row>
    <row r="303" spans="1:10">
      <c r="A303" t="s">
        <v>15</v>
      </c>
      <c r="B303" t="s">
        <v>12</v>
      </c>
      <c r="C303">
        <v>52.5</v>
      </c>
      <c r="D303">
        <v>15.6</v>
      </c>
      <c r="E303">
        <v>221</v>
      </c>
      <c r="F303">
        <v>5450</v>
      </c>
      <c r="G303" t="s">
        <v>9</v>
      </c>
      <c r="H303">
        <f t="shared" si="4"/>
        <v>5.45</v>
      </c>
      <c r="I303" t="str" cm="1">
        <f t="array" ref="I303">_xlfn.IFS(G303="MALE","Male",G303="FEMALE","Female",G303="NA","Unknown")</f>
        <v>Male</v>
      </c>
      <c r="J303" t="str" cm="1">
        <f t="array" ref="J303">_xlfn.IFS(H303&gt;=3.5,"Big",H303&lt;3.5,"Small")</f>
        <v>Big</v>
      </c>
    </row>
    <row r="304" spans="1:10">
      <c r="A304" t="s">
        <v>15</v>
      </c>
      <c r="B304" t="s">
        <v>12</v>
      </c>
      <c r="C304">
        <v>47.4</v>
      </c>
      <c r="D304">
        <v>14.6</v>
      </c>
      <c r="E304">
        <v>212</v>
      </c>
      <c r="F304">
        <v>4725</v>
      </c>
      <c r="G304" t="s">
        <v>10</v>
      </c>
      <c r="H304">
        <f t="shared" si="4"/>
        <v>4.725</v>
      </c>
      <c r="I304" t="str" cm="1">
        <f t="array" ref="I304">_xlfn.IFS(G304="MALE","Male",G304="FEMALE","Female",G304="NA","Unknown")</f>
        <v>Female</v>
      </c>
      <c r="J304" t="str" cm="1">
        <f t="array" ref="J304">_xlfn.IFS(H304&gt;=3.5,"Big",H304&lt;3.5,"Small")</f>
        <v>Big</v>
      </c>
    </row>
    <row r="305" spans="1:10">
      <c r="A305" t="s">
        <v>15</v>
      </c>
      <c r="B305" t="s">
        <v>12</v>
      </c>
      <c r="C305">
        <v>50</v>
      </c>
      <c r="D305">
        <v>15.9</v>
      </c>
      <c r="E305">
        <v>224</v>
      </c>
      <c r="F305">
        <v>5350</v>
      </c>
      <c r="G305" t="s">
        <v>9</v>
      </c>
      <c r="H305">
        <f t="shared" si="4"/>
        <v>5.35</v>
      </c>
      <c r="I305" t="str" cm="1">
        <f t="array" ref="I305">_xlfn.IFS(G305="MALE","Male",G305="FEMALE","Female",G305="NA","Unknown")</f>
        <v>Male</v>
      </c>
      <c r="J305" t="str" cm="1">
        <f t="array" ref="J305">_xlfn.IFS(H305&gt;=3.5,"Big",H305&lt;3.5,"Small")</f>
        <v>Big</v>
      </c>
    </row>
    <row r="306" spans="1:10">
      <c r="A306" t="s">
        <v>15</v>
      </c>
      <c r="B306" t="s">
        <v>12</v>
      </c>
      <c r="C306">
        <v>44.9</v>
      </c>
      <c r="D306">
        <v>13.8</v>
      </c>
      <c r="E306">
        <v>212</v>
      </c>
      <c r="F306">
        <v>4750</v>
      </c>
      <c r="G306" t="s">
        <v>10</v>
      </c>
      <c r="H306">
        <f t="shared" si="4"/>
        <v>4.75</v>
      </c>
      <c r="I306" t="str" cm="1">
        <f t="array" ref="I306">_xlfn.IFS(G306="MALE","Male",G306="FEMALE","Female",G306="NA","Unknown")</f>
        <v>Female</v>
      </c>
      <c r="J306" t="str" cm="1">
        <f t="array" ref="J306">_xlfn.IFS(H306&gt;=3.5,"Big",H306&lt;3.5,"Small")</f>
        <v>Big</v>
      </c>
    </row>
    <row r="307" spans="1:10">
      <c r="A307" t="s">
        <v>15</v>
      </c>
      <c r="B307" t="s">
        <v>12</v>
      </c>
      <c r="C307">
        <v>50.8</v>
      </c>
      <c r="D307">
        <v>17.3</v>
      </c>
      <c r="E307">
        <v>228</v>
      </c>
      <c r="F307">
        <v>5600</v>
      </c>
      <c r="G307" t="s">
        <v>9</v>
      </c>
      <c r="H307">
        <f t="shared" si="4"/>
        <v>5.6</v>
      </c>
      <c r="I307" t="str" cm="1">
        <f t="array" ref="I307">_xlfn.IFS(G307="MALE","Male",G307="FEMALE","Female",G307="NA","Unknown")</f>
        <v>Male</v>
      </c>
      <c r="J307" t="str" cm="1">
        <f t="array" ref="J307">_xlfn.IFS(H307&gt;=3.5,"Big",H307&lt;3.5,"Small")</f>
        <v>Big</v>
      </c>
    </row>
    <row r="308" spans="1:10">
      <c r="A308" t="s">
        <v>15</v>
      </c>
      <c r="B308" t="s">
        <v>12</v>
      </c>
      <c r="C308">
        <v>43.4</v>
      </c>
      <c r="D308">
        <v>14.4</v>
      </c>
      <c r="E308">
        <v>218</v>
      </c>
      <c r="F308">
        <v>4600</v>
      </c>
      <c r="G308" t="s">
        <v>10</v>
      </c>
      <c r="H308">
        <f t="shared" si="4"/>
        <v>4.6</v>
      </c>
      <c r="I308" t="str" cm="1">
        <f t="array" ref="I308">_xlfn.IFS(G308="MALE","Male",G308="FEMALE","Female",G308="NA","Unknown")</f>
        <v>Female</v>
      </c>
      <c r="J308" t="str" cm="1">
        <f t="array" ref="J308">_xlfn.IFS(H308&gt;=3.5,"Big",H308&lt;3.5,"Small")</f>
        <v>Big</v>
      </c>
    </row>
    <row r="309" spans="1:10">
      <c r="A309" t="s">
        <v>15</v>
      </c>
      <c r="B309" t="s">
        <v>12</v>
      </c>
      <c r="C309">
        <v>51.3</v>
      </c>
      <c r="D309">
        <v>14.2</v>
      </c>
      <c r="E309">
        <v>218</v>
      </c>
      <c r="F309">
        <v>5300</v>
      </c>
      <c r="G309" t="s">
        <v>9</v>
      </c>
      <c r="H309">
        <f t="shared" si="4"/>
        <v>5.3</v>
      </c>
      <c r="I309" t="str" cm="1">
        <f t="array" ref="I309">_xlfn.IFS(G309="MALE","Male",G309="FEMALE","Female",G309="NA","Unknown")</f>
        <v>Male</v>
      </c>
      <c r="J309" t="str" cm="1">
        <f t="array" ref="J309">_xlfn.IFS(H309&gt;=3.5,"Big",H309&lt;3.5,"Small")</f>
        <v>Big</v>
      </c>
    </row>
    <row r="310" spans="1:10">
      <c r="A310" t="s">
        <v>15</v>
      </c>
      <c r="B310" t="s">
        <v>12</v>
      </c>
      <c r="C310">
        <v>47.5</v>
      </c>
      <c r="D310">
        <v>14</v>
      </c>
      <c r="E310">
        <v>212</v>
      </c>
      <c r="F310">
        <v>4875</v>
      </c>
      <c r="G310" t="s">
        <v>10</v>
      </c>
      <c r="H310">
        <f t="shared" si="4"/>
        <v>4.875</v>
      </c>
      <c r="I310" t="str" cm="1">
        <f t="array" ref="I310">_xlfn.IFS(G310="MALE","Male",G310="FEMALE","Female",G310="NA","Unknown")</f>
        <v>Female</v>
      </c>
      <c r="J310" t="str" cm="1">
        <f t="array" ref="J310">_xlfn.IFS(H310&gt;=3.5,"Big",H310&lt;3.5,"Small")</f>
        <v>Big</v>
      </c>
    </row>
    <row r="311" spans="1:10">
      <c r="A311" t="s">
        <v>15</v>
      </c>
      <c r="B311" t="s">
        <v>12</v>
      </c>
      <c r="C311">
        <v>52.1</v>
      </c>
      <c r="D311">
        <v>17</v>
      </c>
      <c r="E311">
        <v>230</v>
      </c>
      <c r="F311">
        <v>5550</v>
      </c>
      <c r="G311" t="s">
        <v>9</v>
      </c>
      <c r="H311">
        <f t="shared" si="4"/>
        <v>5.55</v>
      </c>
      <c r="I311" t="str" cm="1">
        <f t="array" ref="I311">_xlfn.IFS(G311="MALE","Male",G311="FEMALE","Female",G311="NA","Unknown")</f>
        <v>Male</v>
      </c>
      <c r="J311" t="str" cm="1">
        <f t="array" ref="J311">_xlfn.IFS(H311&gt;=3.5,"Big",H311&lt;3.5,"Small")</f>
        <v>Big</v>
      </c>
    </row>
    <row r="312" spans="1:10">
      <c r="A312" t="s">
        <v>15</v>
      </c>
      <c r="B312" t="s">
        <v>12</v>
      </c>
      <c r="C312">
        <v>47.5</v>
      </c>
      <c r="D312">
        <v>15</v>
      </c>
      <c r="E312">
        <v>218</v>
      </c>
      <c r="F312">
        <v>4950</v>
      </c>
      <c r="G312" t="s">
        <v>10</v>
      </c>
      <c r="H312">
        <f t="shared" si="4"/>
        <v>4.95</v>
      </c>
      <c r="I312" t="str" cm="1">
        <f t="array" ref="I312">_xlfn.IFS(G312="MALE","Male",G312="FEMALE","Female",G312="NA","Unknown")</f>
        <v>Female</v>
      </c>
      <c r="J312" t="str" cm="1">
        <f t="array" ref="J312">_xlfn.IFS(H312&gt;=3.5,"Big",H312&lt;3.5,"Small")</f>
        <v>Big</v>
      </c>
    </row>
    <row r="313" spans="1:10">
      <c r="A313" t="s">
        <v>15</v>
      </c>
      <c r="B313" t="s">
        <v>12</v>
      </c>
      <c r="C313">
        <v>52.2</v>
      </c>
      <c r="D313">
        <v>17.1</v>
      </c>
      <c r="E313">
        <v>228</v>
      </c>
      <c r="F313">
        <v>5400</v>
      </c>
      <c r="G313" t="s">
        <v>9</v>
      </c>
      <c r="H313">
        <f t="shared" si="4"/>
        <v>5.4</v>
      </c>
      <c r="I313" t="str" cm="1">
        <f t="array" ref="I313">_xlfn.IFS(G313="MALE","Male",G313="FEMALE","Female",G313="NA","Unknown")</f>
        <v>Male</v>
      </c>
      <c r="J313" t="str" cm="1">
        <f t="array" ref="J313">_xlfn.IFS(H313&gt;=3.5,"Big",H313&lt;3.5,"Small")</f>
        <v>Big</v>
      </c>
    </row>
    <row r="314" spans="1:10">
      <c r="A314" t="s">
        <v>15</v>
      </c>
      <c r="B314" t="s">
        <v>12</v>
      </c>
      <c r="C314">
        <v>45.5</v>
      </c>
      <c r="D314">
        <v>14.5</v>
      </c>
      <c r="E314">
        <v>212</v>
      </c>
      <c r="F314">
        <v>4750</v>
      </c>
      <c r="G314" t="s">
        <v>10</v>
      </c>
      <c r="H314">
        <f t="shared" si="4"/>
        <v>4.75</v>
      </c>
      <c r="I314" t="str" cm="1">
        <f t="array" ref="I314">_xlfn.IFS(G314="MALE","Male",G314="FEMALE","Female",G314="NA","Unknown")</f>
        <v>Female</v>
      </c>
      <c r="J314" t="str" cm="1">
        <f t="array" ref="J314">_xlfn.IFS(H314&gt;=3.5,"Big",H314&lt;3.5,"Small")</f>
        <v>Big</v>
      </c>
    </row>
    <row r="315" spans="1:10">
      <c r="A315" t="s">
        <v>15</v>
      </c>
      <c r="B315" t="s">
        <v>12</v>
      </c>
      <c r="C315">
        <v>49.5</v>
      </c>
      <c r="D315">
        <v>16.1</v>
      </c>
      <c r="E315">
        <v>224</v>
      </c>
      <c r="F315">
        <v>5650</v>
      </c>
      <c r="G315" t="s">
        <v>9</v>
      </c>
      <c r="H315">
        <f t="shared" si="4"/>
        <v>5.65</v>
      </c>
      <c r="I315" t="str" cm="1">
        <f t="array" ref="I315">_xlfn.IFS(G315="MALE","Male",G315="FEMALE","Female",G315="NA","Unknown")</f>
        <v>Male</v>
      </c>
      <c r="J315" t="str" cm="1">
        <f t="array" ref="J315">_xlfn.IFS(H315&gt;=3.5,"Big",H315&lt;3.5,"Small")</f>
        <v>Big</v>
      </c>
    </row>
    <row r="316" spans="1:10">
      <c r="A316" t="s">
        <v>15</v>
      </c>
      <c r="B316" t="s">
        <v>12</v>
      </c>
      <c r="C316">
        <v>44.5</v>
      </c>
      <c r="D316">
        <v>14.7</v>
      </c>
      <c r="E316">
        <v>214</v>
      </c>
      <c r="F316">
        <v>4850</v>
      </c>
      <c r="G316" t="s">
        <v>10</v>
      </c>
      <c r="H316">
        <f t="shared" si="4"/>
        <v>4.85</v>
      </c>
      <c r="I316" t="str" cm="1">
        <f t="array" ref="I316">_xlfn.IFS(G316="MALE","Male",G316="FEMALE","Female",G316="NA","Unknown")</f>
        <v>Female</v>
      </c>
      <c r="J316" t="str" cm="1">
        <f t="array" ref="J316">_xlfn.IFS(H316&gt;=3.5,"Big",H316&lt;3.5,"Small")</f>
        <v>Big</v>
      </c>
    </row>
    <row r="317" spans="1:10">
      <c r="A317" t="s">
        <v>15</v>
      </c>
      <c r="B317" t="s">
        <v>12</v>
      </c>
      <c r="C317">
        <v>50.8</v>
      </c>
      <c r="D317">
        <v>15.7</v>
      </c>
      <c r="E317">
        <v>226</v>
      </c>
      <c r="F317">
        <v>5200</v>
      </c>
      <c r="G317" t="s">
        <v>9</v>
      </c>
      <c r="H317">
        <f t="shared" si="4"/>
        <v>5.2</v>
      </c>
      <c r="I317" t="str" cm="1">
        <f t="array" ref="I317">_xlfn.IFS(G317="MALE","Male",G317="FEMALE","Female",G317="NA","Unknown")</f>
        <v>Male</v>
      </c>
      <c r="J317" t="str" cm="1">
        <f t="array" ref="J317">_xlfn.IFS(H317&gt;=3.5,"Big",H317&lt;3.5,"Small")</f>
        <v>Big</v>
      </c>
    </row>
    <row r="318" spans="1:10">
      <c r="A318" t="s">
        <v>15</v>
      </c>
      <c r="B318" t="s">
        <v>12</v>
      </c>
      <c r="C318">
        <v>49.4</v>
      </c>
      <c r="D318">
        <v>15.8</v>
      </c>
      <c r="E318">
        <v>216</v>
      </c>
      <c r="F318">
        <v>4925</v>
      </c>
      <c r="G318" t="s">
        <v>9</v>
      </c>
      <c r="H318">
        <f t="shared" si="4"/>
        <v>4.925</v>
      </c>
      <c r="I318" t="str" cm="1">
        <f t="array" ref="I318">_xlfn.IFS(G318="MALE","Male",G318="FEMALE","Female",G318="NA","Unknown")</f>
        <v>Male</v>
      </c>
      <c r="J318" t="str" cm="1">
        <f t="array" ref="J318">_xlfn.IFS(H318&gt;=3.5,"Big",H318&lt;3.5,"Small")</f>
        <v>Big</v>
      </c>
    </row>
    <row r="319" spans="1:10">
      <c r="A319" t="s">
        <v>15</v>
      </c>
      <c r="B319" t="s">
        <v>12</v>
      </c>
      <c r="C319">
        <v>46.9</v>
      </c>
      <c r="D319">
        <v>14.6</v>
      </c>
      <c r="E319">
        <v>222</v>
      </c>
      <c r="F319">
        <v>4875</v>
      </c>
      <c r="G319" t="s">
        <v>10</v>
      </c>
      <c r="H319">
        <f t="shared" si="4"/>
        <v>4.875</v>
      </c>
      <c r="I319" t="str" cm="1">
        <f t="array" ref="I319">_xlfn.IFS(G319="MALE","Male",G319="FEMALE","Female",G319="NA","Unknown")</f>
        <v>Female</v>
      </c>
      <c r="J319" t="str" cm="1">
        <f t="array" ref="J319">_xlfn.IFS(H319&gt;=3.5,"Big",H319&lt;3.5,"Small")</f>
        <v>Big</v>
      </c>
    </row>
    <row r="320" spans="1:10">
      <c r="A320" t="s">
        <v>15</v>
      </c>
      <c r="B320" t="s">
        <v>12</v>
      </c>
      <c r="C320">
        <v>48.4</v>
      </c>
      <c r="D320">
        <v>14.4</v>
      </c>
      <c r="E320">
        <v>203</v>
      </c>
      <c r="F320">
        <v>4625</v>
      </c>
      <c r="G320" t="s">
        <v>10</v>
      </c>
      <c r="H320">
        <f t="shared" si="4"/>
        <v>4.625</v>
      </c>
      <c r="I320" t="str" cm="1">
        <f t="array" ref="I320">_xlfn.IFS(G320="MALE","Male",G320="FEMALE","Female",G320="NA","Unknown")</f>
        <v>Female</v>
      </c>
      <c r="J320" t="str" cm="1">
        <f t="array" ref="J320">_xlfn.IFS(H320&gt;=3.5,"Big",H320&lt;3.5,"Small")</f>
        <v>Big</v>
      </c>
    </row>
    <row r="321" spans="1:10">
      <c r="A321" t="s">
        <v>15</v>
      </c>
      <c r="B321" t="s">
        <v>12</v>
      </c>
      <c r="C321">
        <v>51.1</v>
      </c>
      <c r="D321">
        <v>16.5</v>
      </c>
      <c r="E321">
        <v>225</v>
      </c>
      <c r="F321">
        <v>5250</v>
      </c>
      <c r="G321" t="s">
        <v>9</v>
      </c>
      <c r="H321">
        <f t="shared" si="4"/>
        <v>5.25</v>
      </c>
      <c r="I321" t="str" cm="1">
        <f t="array" ref="I321">_xlfn.IFS(G321="MALE","Male",G321="FEMALE","Female",G321="NA","Unknown")</f>
        <v>Male</v>
      </c>
      <c r="J321" t="str" cm="1">
        <f t="array" ref="J321">_xlfn.IFS(H321&gt;=3.5,"Big",H321&lt;3.5,"Small")</f>
        <v>Big</v>
      </c>
    </row>
    <row r="322" spans="1:10">
      <c r="A322" t="s">
        <v>15</v>
      </c>
      <c r="B322" t="s">
        <v>12</v>
      </c>
      <c r="C322">
        <v>48.5</v>
      </c>
      <c r="D322">
        <v>15</v>
      </c>
      <c r="E322">
        <v>219</v>
      </c>
      <c r="F322">
        <v>4850</v>
      </c>
      <c r="G322" t="s">
        <v>10</v>
      </c>
      <c r="H322">
        <f t="shared" si="4"/>
        <v>4.85</v>
      </c>
      <c r="I322" t="str" cm="1">
        <f t="array" ref="I322">_xlfn.IFS(G322="MALE","Male",G322="FEMALE","Female",G322="NA","Unknown")</f>
        <v>Female</v>
      </c>
      <c r="J322" t="str" cm="1">
        <f t="array" ref="J322">_xlfn.IFS(H322&gt;=3.5,"Big",H322&lt;3.5,"Small")</f>
        <v>Big</v>
      </c>
    </row>
    <row r="323" spans="1:10">
      <c r="A323" t="s">
        <v>15</v>
      </c>
      <c r="B323" t="s">
        <v>12</v>
      </c>
      <c r="C323">
        <v>55.9</v>
      </c>
      <c r="D323">
        <v>17</v>
      </c>
      <c r="E323">
        <v>228</v>
      </c>
      <c r="F323">
        <v>5600</v>
      </c>
      <c r="G323" t="s">
        <v>9</v>
      </c>
      <c r="H323">
        <f t="shared" ref="H323:H345" si="5">F323/1000</f>
        <v>5.6</v>
      </c>
      <c r="I323" t="str" cm="1">
        <f t="array" ref="I323">_xlfn.IFS(G323="MALE","Male",G323="FEMALE","Female",G323="NA","Unknown")</f>
        <v>Male</v>
      </c>
      <c r="J323" t="str" cm="1">
        <f t="array" ref="J323">_xlfn.IFS(H323&gt;=3.5,"Big",H323&lt;3.5,"Small")</f>
        <v>Big</v>
      </c>
    </row>
    <row r="324" spans="1:10">
      <c r="A324" t="s">
        <v>15</v>
      </c>
      <c r="B324" t="s">
        <v>12</v>
      </c>
      <c r="C324">
        <v>47.2</v>
      </c>
      <c r="D324">
        <v>15.5</v>
      </c>
      <c r="E324">
        <v>215</v>
      </c>
      <c r="F324">
        <v>4975</v>
      </c>
      <c r="G324" t="s">
        <v>10</v>
      </c>
      <c r="H324">
        <f t="shared" si="5"/>
        <v>4.975</v>
      </c>
      <c r="I324" t="str" cm="1">
        <f t="array" ref="I324">_xlfn.IFS(G324="MALE","Male",G324="FEMALE","Female",G324="NA","Unknown")</f>
        <v>Female</v>
      </c>
      <c r="J324" t="str" cm="1">
        <f t="array" ref="J324">_xlfn.IFS(H324&gt;=3.5,"Big",H324&lt;3.5,"Small")</f>
        <v>Big</v>
      </c>
    </row>
    <row r="325" spans="1:10">
      <c r="A325" t="s">
        <v>15</v>
      </c>
      <c r="B325" t="s">
        <v>12</v>
      </c>
      <c r="C325">
        <v>49.1</v>
      </c>
      <c r="D325">
        <v>15</v>
      </c>
      <c r="E325">
        <v>228</v>
      </c>
      <c r="F325">
        <v>5500</v>
      </c>
      <c r="G325" t="s">
        <v>9</v>
      </c>
      <c r="H325">
        <f t="shared" si="5"/>
        <v>5.5</v>
      </c>
      <c r="I325" t="str" cm="1">
        <f t="array" ref="I325">_xlfn.IFS(G325="MALE","Male",G325="FEMALE","Female",G325="NA","Unknown")</f>
        <v>Male</v>
      </c>
      <c r="J325" t="str" cm="1">
        <f t="array" ref="J325">_xlfn.IFS(H325&gt;=3.5,"Big",H325&lt;3.5,"Small")</f>
        <v>Big</v>
      </c>
    </row>
    <row r="326" spans="1:10">
      <c r="A326" t="s">
        <v>15</v>
      </c>
      <c r="B326" t="s">
        <v>12</v>
      </c>
      <c r="C326">
        <v>47.3</v>
      </c>
      <c r="D326">
        <v>13.8</v>
      </c>
      <c r="E326">
        <v>216</v>
      </c>
      <c r="F326">
        <v>4725</v>
      </c>
      <c r="G326" t="s">
        <v>11</v>
      </c>
      <c r="H326">
        <f t="shared" si="5"/>
        <v>4.725</v>
      </c>
      <c r="I326" t="str" cm="1">
        <f t="array" ref="I326">_xlfn.IFS(G326="MALE","Male",G326="FEMALE","Female",G326="NA","Unknown")</f>
        <v>Unknown</v>
      </c>
      <c r="J326" t="str" cm="1">
        <f t="array" ref="J326">_xlfn.IFS(H326&gt;=3.5,"Big",H326&lt;3.5,"Small")</f>
        <v>Big</v>
      </c>
    </row>
    <row r="327" spans="1:10">
      <c r="A327" t="s">
        <v>15</v>
      </c>
      <c r="B327" t="s">
        <v>12</v>
      </c>
      <c r="C327">
        <v>46.8</v>
      </c>
      <c r="D327">
        <v>16.1</v>
      </c>
      <c r="E327">
        <v>215</v>
      </c>
      <c r="F327">
        <v>5500</v>
      </c>
      <c r="G327" t="s">
        <v>9</v>
      </c>
      <c r="H327">
        <f t="shared" si="5"/>
        <v>5.5</v>
      </c>
      <c r="I327" t="str" cm="1">
        <f t="array" ref="I327">_xlfn.IFS(G327="MALE","Male",G327="FEMALE","Female",G327="NA","Unknown")</f>
        <v>Male</v>
      </c>
      <c r="J327" t="str" cm="1">
        <f t="array" ref="J327">_xlfn.IFS(H327&gt;=3.5,"Big",H327&lt;3.5,"Small")</f>
        <v>Big</v>
      </c>
    </row>
    <row r="328" spans="1:10">
      <c r="A328" t="s">
        <v>15</v>
      </c>
      <c r="B328" t="s">
        <v>12</v>
      </c>
      <c r="C328">
        <v>41.7</v>
      </c>
      <c r="D328">
        <v>14.7</v>
      </c>
      <c r="E328">
        <v>210</v>
      </c>
      <c r="F328">
        <v>4700</v>
      </c>
      <c r="G328" t="s">
        <v>10</v>
      </c>
      <c r="H328">
        <f t="shared" si="5"/>
        <v>4.7</v>
      </c>
      <c r="I328" t="str" cm="1">
        <f t="array" ref="I328">_xlfn.IFS(G328="MALE","Male",G328="FEMALE","Female",G328="NA","Unknown")</f>
        <v>Female</v>
      </c>
      <c r="J328" t="str" cm="1">
        <f t="array" ref="J328">_xlfn.IFS(H328&gt;=3.5,"Big",H328&lt;3.5,"Small")</f>
        <v>Big</v>
      </c>
    </row>
    <row r="329" spans="1:10">
      <c r="A329" t="s">
        <v>15</v>
      </c>
      <c r="B329" t="s">
        <v>12</v>
      </c>
      <c r="C329">
        <v>53.4</v>
      </c>
      <c r="D329">
        <v>15.8</v>
      </c>
      <c r="E329">
        <v>219</v>
      </c>
      <c r="F329">
        <v>5500</v>
      </c>
      <c r="G329" t="s">
        <v>9</v>
      </c>
      <c r="H329">
        <f t="shared" si="5"/>
        <v>5.5</v>
      </c>
      <c r="I329" t="str" cm="1">
        <f t="array" ref="I329">_xlfn.IFS(G329="MALE","Male",G329="FEMALE","Female",G329="NA","Unknown")</f>
        <v>Male</v>
      </c>
      <c r="J329" t="str" cm="1">
        <f t="array" ref="J329">_xlfn.IFS(H329&gt;=3.5,"Big",H329&lt;3.5,"Small")</f>
        <v>Big</v>
      </c>
    </row>
    <row r="330" spans="1:10">
      <c r="A330" t="s">
        <v>15</v>
      </c>
      <c r="B330" t="s">
        <v>12</v>
      </c>
      <c r="C330">
        <v>43.3</v>
      </c>
      <c r="D330">
        <v>14</v>
      </c>
      <c r="E330">
        <v>208</v>
      </c>
      <c r="F330">
        <v>4575</v>
      </c>
      <c r="G330" t="s">
        <v>10</v>
      </c>
      <c r="H330">
        <f t="shared" si="5"/>
        <v>4.575</v>
      </c>
      <c r="I330" t="str" cm="1">
        <f t="array" ref="I330">_xlfn.IFS(G330="MALE","Male",G330="FEMALE","Female",G330="NA","Unknown")</f>
        <v>Female</v>
      </c>
      <c r="J330" t="str" cm="1">
        <f t="array" ref="J330">_xlfn.IFS(H330&gt;=3.5,"Big",H330&lt;3.5,"Small")</f>
        <v>Big</v>
      </c>
    </row>
    <row r="331" spans="1:10">
      <c r="A331" t="s">
        <v>15</v>
      </c>
      <c r="B331" t="s">
        <v>12</v>
      </c>
      <c r="C331">
        <v>48.1</v>
      </c>
      <c r="D331">
        <v>15.1</v>
      </c>
      <c r="E331">
        <v>209</v>
      </c>
      <c r="F331">
        <v>5500</v>
      </c>
      <c r="G331" t="s">
        <v>9</v>
      </c>
      <c r="H331">
        <f t="shared" si="5"/>
        <v>5.5</v>
      </c>
      <c r="I331" t="str" cm="1">
        <f t="array" ref="I331">_xlfn.IFS(G331="MALE","Male",G331="FEMALE","Female",G331="NA","Unknown")</f>
        <v>Male</v>
      </c>
      <c r="J331" t="str" cm="1">
        <f t="array" ref="J331">_xlfn.IFS(H331&gt;=3.5,"Big",H331&lt;3.5,"Small")</f>
        <v>Big</v>
      </c>
    </row>
    <row r="332" spans="1:10">
      <c r="A332" t="s">
        <v>15</v>
      </c>
      <c r="B332" t="s">
        <v>12</v>
      </c>
      <c r="C332">
        <v>50.5</v>
      </c>
      <c r="D332">
        <v>15.2</v>
      </c>
      <c r="E332">
        <v>216</v>
      </c>
      <c r="F332">
        <v>5000</v>
      </c>
      <c r="G332" t="s">
        <v>10</v>
      </c>
      <c r="H332">
        <f t="shared" si="5"/>
        <v>5</v>
      </c>
      <c r="I332" t="str" cm="1">
        <f t="array" ref="I332">_xlfn.IFS(G332="MALE","Male",G332="FEMALE","Female",G332="NA","Unknown")</f>
        <v>Female</v>
      </c>
      <c r="J332" t="str" cm="1">
        <f t="array" ref="J332">_xlfn.IFS(H332&gt;=3.5,"Big",H332&lt;3.5,"Small")</f>
        <v>Big</v>
      </c>
    </row>
    <row r="333" spans="1:10">
      <c r="A333" t="s">
        <v>15</v>
      </c>
      <c r="B333" t="s">
        <v>12</v>
      </c>
      <c r="C333">
        <v>49.8</v>
      </c>
      <c r="D333">
        <v>15.9</v>
      </c>
      <c r="E333">
        <v>229</v>
      </c>
      <c r="F333">
        <v>5950</v>
      </c>
      <c r="G333" t="s">
        <v>9</v>
      </c>
      <c r="H333">
        <f t="shared" si="5"/>
        <v>5.95</v>
      </c>
      <c r="I333" t="str" cm="1">
        <f t="array" ref="I333">_xlfn.IFS(G333="MALE","Male",G333="FEMALE","Female",G333="NA","Unknown")</f>
        <v>Male</v>
      </c>
      <c r="J333" t="str" cm="1">
        <f t="array" ref="J333">_xlfn.IFS(H333&gt;=3.5,"Big",H333&lt;3.5,"Small")</f>
        <v>Big</v>
      </c>
    </row>
    <row r="334" spans="1:10">
      <c r="A334" t="s">
        <v>15</v>
      </c>
      <c r="B334" t="s">
        <v>12</v>
      </c>
      <c r="C334">
        <v>43.5</v>
      </c>
      <c r="D334">
        <v>15.2</v>
      </c>
      <c r="E334">
        <v>213</v>
      </c>
      <c r="F334">
        <v>4650</v>
      </c>
      <c r="G334" t="s">
        <v>10</v>
      </c>
      <c r="H334">
        <f t="shared" si="5"/>
        <v>4.65</v>
      </c>
      <c r="I334" t="str" cm="1">
        <f t="array" ref="I334">_xlfn.IFS(G334="MALE","Male",G334="FEMALE","Female",G334="NA","Unknown")</f>
        <v>Female</v>
      </c>
      <c r="J334" t="str" cm="1">
        <f t="array" ref="J334">_xlfn.IFS(H334&gt;=3.5,"Big",H334&lt;3.5,"Small")</f>
        <v>Big</v>
      </c>
    </row>
    <row r="335" spans="1:10">
      <c r="A335" t="s">
        <v>15</v>
      </c>
      <c r="B335" t="s">
        <v>12</v>
      </c>
      <c r="C335">
        <v>51.5</v>
      </c>
      <c r="D335">
        <v>16.3</v>
      </c>
      <c r="E335">
        <v>230</v>
      </c>
      <c r="F335">
        <v>5500</v>
      </c>
      <c r="G335" t="s">
        <v>9</v>
      </c>
      <c r="H335">
        <f t="shared" si="5"/>
        <v>5.5</v>
      </c>
      <c r="I335" t="str" cm="1">
        <f t="array" ref="I335">_xlfn.IFS(G335="MALE","Male",G335="FEMALE","Female",G335="NA","Unknown")</f>
        <v>Male</v>
      </c>
      <c r="J335" t="str" cm="1">
        <f t="array" ref="J335">_xlfn.IFS(H335&gt;=3.5,"Big",H335&lt;3.5,"Small")</f>
        <v>Big</v>
      </c>
    </row>
    <row r="336" spans="1:10">
      <c r="A336" t="s">
        <v>15</v>
      </c>
      <c r="B336" t="s">
        <v>12</v>
      </c>
      <c r="C336">
        <v>46.2</v>
      </c>
      <c r="D336">
        <v>14.1</v>
      </c>
      <c r="E336">
        <v>217</v>
      </c>
      <c r="F336">
        <v>4375</v>
      </c>
      <c r="G336" t="s">
        <v>10</v>
      </c>
      <c r="H336">
        <f t="shared" si="5"/>
        <v>4.375</v>
      </c>
      <c r="I336" t="str" cm="1">
        <f t="array" ref="I336">_xlfn.IFS(G336="MALE","Male",G336="FEMALE","Female",G336="NA","Unknown")</f>
        <v>Female</v>
      </c>
      <c r="J336" t="str" cm="1">
        <f t="array" ref="J336">_xlfn.IFS(H336&gt;=3.5,"Big",H336&lt;3.5,"Small")</f>
        <v>Big</v>
      </c>
    </row>
    <row r="337" spans="1:10">
      <c r="A337" t="s">
        <v>15</v>
      </c>
      <c r="B337" t="s">
        <v>12</v>
      </c>
      <c r="C337">
        <v>55.1</v>
      </c>
      <c r="D337">
        <v>16</v>
      </c>
      <c r="E337">
        <v>230</v>
      </c>
      <c r="F337">
        <v>5850</v>
      </c>
      <c r="G337" t="s">
        <v>9</v>
      </c>
      <c r="H337">
        <f t="shared" si="5"/>
        <v>5.85</v>
      </c>
      <c r="I337" t="str" cm="1">
        <f t="array" ref="I337">_xlfn.IFS(G337="MALE","Male",G337="FEMALE","Female",G337="NA","Unknown")</f>
        <v>Male</v>
      </c>
      <c r="J337" t="str" cm="1">
        <f t="array" ref="J337">_xlfn.IFS(H337&gt;=3.5,"Big",H337&lt;3.5,"Small")</f>
        <v>Big</v>
      </c>
    </row>
    <row r="338" spans="1:10">
      <c r="A338" t="s">
        <v>15</v>
      </c>
      <c r="B338" t="s">
        <v>12</v>
      </c>
      <c r="C338">
        <v>44.5</v>
      </c>
      <c r="D338">
        <v>15.7</v>
      </c>
      <c r="E338">
        <v>217</v>
      </c>
      <c r="F338">
        <v>4875</v>
      </c>
      <c r="G338" t="s">
        <v>16</v>
      </c>
      <c r="H338">
        <f t="shared" si="5"/>
        <v>4.875</v>
      </c>
      <c r="I338" t="str" cm="1">
        <f t="array" ref="I338">_xlfn.IFS(G338="MALE","Male",G338="FEMALE","Female",G338="NA","Unknown",G338=".","Unknown")</f>
        <v>Unknown</v>
      </c>
      <c r="J338" t="str" cm="1">
        <f t="array" ref="J338">_xlfn.IFS(H338&gt;=3.5,"Big",H338&lt;3.5,"Small")</f>
        <v>Big</v>
      </c>
    </row>
    <row r="339" spans="1:10">
      <c r="A339" t="s">
        <v>15</v>
      </c>
      <c r="B339" t="s">
        <v>12</v>
      </c>
      <c r="C339">
        <v>48.8</v>
      </c>
      <c r="D339">
        <v>16.2</v>
      </c>
      <c r="E339">
        <v>222</v>
      </c>
      <c r="F339">
        <v>6000</v>
      </c>
      <c r="G339" t="s">
        <v>9</v>
      </c>
      <c r="H339">
        <f t="shared" si="5"/>
        <v>6</v>
      </c>
      <c r="I339" t="str" cm="1">
        <f t="array" ref="I339">_xlfn.IFS(G339="MALE","Male",G339="FEMALE","Female",G339="NA","Unknown")</f>
        <v>Male</v>
      </c>
      <c r="J339" t="str" cm="1">
        <f t="array" ref="J339">_xlfn.IFS(H339&gt;=3.5,"Big",H339&lt;3.5,"Small")</f>
        <v>Big</v>
      </c>
    </row>
    <row r="340" spans="1:10">
      <c r="A340" t="s">
        <v>15</v>
      </c>
      <c r="B340" t="s">
        <v>12</v>
      </c>
      <c r="C340">
        <v>47.2</v>
      </c>
      <c r="D340">
        <v>13.7</v>
      </c>
      <c r="E340">
        <v>214</v>
      </c>
      <c r="F340">
        <v>4925</v>
      </c>
      <c r="G340" t="s">
        <v>10</v>
      </c>
      <c r="H340">
        <f t="shared" si="5"/>
        <v>4.925</v>
      </c>
      <c r="I340" t="str" cm="1">
        <f t="array" ref="I340">_xlfn.IFS(G340="MALE","Male",G340="FEMALE","Female",G340="NA","Unknown")</f>
        <v>Female</v>
      </c>
      <c r="J340" t="str" cm="1">
        <f t="array" ref="J340">_xlfn.IFS(H340&gt;=3.5,"Big",H340&lt;3.5,"Small")</f>
        <v>Big</v>
      </c>
    </row>
    <row r="341" s="1" customFormat="1" spans="1:10">
      <c r="A341" s="2" t="s">
        <v>15</v>
      </c>
      <c r="B341" s="2" t="s">
        <v>12</v>
      </c>
      <c r="C341" s="2" t="s">
        <v>11</v>
      </c>
      <c r="D341" s="2" t="s">
        <v>11</v>
      </c>
      <c r="E341" s="2" t="s">
        <v>11</v>
      </c>
      <c r="F341" s="2" t="s">
        <v>11</v>
      </c>
      <c r="G341" s="2" t="s">
        <v>11</v>
      </c>
      <c r="H341" s="1" t="e">
        <f t="shared" si="5"/>
        <v>#VALUE!</v>
      </c>
      <c r="I341" s="2" t="str" cm="1">
        <f t="array" ref="I341">_xlfn.IFS(G341="MALE","Male",G341="FEMALE","Female",G341="NA","Unknown")</f>
        <v>Unknown</v>
      </c>
      <c r="J341" s="1" t="e" cm="1">
        <f t="array" ref="J341">_xlfn.IFS(H341&gt;=3.5,"Big",H341&lt;3.5,"Small")</f>
        <v>#VALUE!</v>
      </c>
    </row>
    <row r="342" spans="1:10">
      <c r="A342" t="s">
        <v>15</v>
      </c>
      <c r="B342" t="s">
        <v>12</v>
      </c>
      <c r="C342">
        <v>46.8</v>
      </c>
      <c r="D342">
        <v>14.3</v>
      </c>
      <c r="E342">
        <v>215</v>
      </c>
      <c r="F342">
        <v>4850</v>
      </c>
      <c r="G342" t="s">
        <v>10</v>
      </c>
      <c r="H342">
        <f t="shared" si="5"/>
        <v>4.85</v>
      </c>
      <c r="I342" t="str" cm="1">
        <f t="array" ref="I342">_xlfn.IFS(G342="MALE","Male",G342="FEMALE","Female",G342="NA","Unknown")</f>
        <v>Female</v>
      </c>
      <c r="J342" t="str" cm="1">
        <f t="array" ref="J342">_xlfn.IFS(H342&gt;=3.5,"Big",H342&lt;3.5,"Small")</f>
        <v>Big</v>
      </c>
    </row>
    <row r="343" spans="1:10">
      <c r="A343" t="s">
        <v>15</v>
      </c>
      <c r="B343" t="s">
        <v>12</v>
      </c>
      <c r="C343">
        <v>50.4</v>
      </c>
      <c r="D343">
        <v>15.7</v>
      </c>
      <c r="E343">
        <v>222</v>
      </c>
      <c r="F343">
        <v>5750</v>
      </c>
      <c r="G343" t="s">
        <v>9</v>
      </c>
      <c r="H343">
        <f t="shared" si="5"/>
        <v>5.75</v>
      </c>
      <c r="I343" t="str" cm="1">
        <f t="array" ref="I343">_xlfn.IFS(G343="MALE","Male",G343="FEMALE","Female",G343="NA","Unknown")</f>
        <v>Male</v>
      </c>
      <c r="J343" t="str" cm="1">
        <f t="array" ref="J343">_xlfn.IFS(H343&gt;=3.5,"Big",H343&lt;3.5,"Small")</f>
        <v>Big</v>
      </c>
    </row>
    <row r="344" spans="1:10">
      <c r="A344" t="s">
        <v>15</v>
      </c>
      <c r="B344" t="s">
        <v>12</v>
      </c>
      <c r="C344">
        <v>45.2</v>
      </c>
      <c r="D344">
        <v>14.8</v>
      </c>
      <c r="E344">
        <v>212</v>
      </c>
      <c r="F344">
        <v>5200</v>
      </c>
      <c r="G344" t="s">
        <v>10</v>
      </c>
      <c r="H344">
        <f t="shared" si="5"/>
        <v>5.2</v>
      </c>
      <c r="I344" t="str" cm="1">
        <f t="array" ref="I344">_xlfn.IFS(G344="MALE","Male",G344="FEMALE","Female",G344="NA","Unknown")</f>
        <v>Female</v>
      </c>
      <c r="J344" t="str" cm="1">
        <f t="array" ref="J344">_xlfn.IFS(H344&gt;=3.5,"Big",H344&lt;3.5,"Small")</f>
        <v>Big</v>
      </c>
    </row>
    <row r="345" spans="1:10">
      <c r="A345" t="s">
        <v>15</v>
      </c>
      <c r="B345" t="s">
        <v>12</v>
      </c>
      <c r="C345">
        <v>49.9</v>
      </c>
      <c r="D345">
        <v>16.1</v>
      </c>
      <c r="E345">
        <v>213</v>
      </c>
      <c r="F345">
        <v>5400</v>
      </c>
      <c r="G345" t="s">
        <v>9</v>
      </c>
      <c r="H345">
        <f t="shared" si="5"/>
        <v>5.4</v>
      </c>
      <c r="I345" t="str" cm="1">
        <f t="array" ref="I345">_xlfn.IFS(G345="MALE","Male",G345="FEMALE","Female",G345="NA","Unknown")</f>
        <v>Male</v>
      </c>
      <c r="J345" t="str" cm="1">
        <f t="array" ref="J345">_xlfn.IFS(H345&gt;=3.5,"Big",H345&lt;3.5,"Small")</f>
        <v>Big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workbookViewId="0">
      <selection activeCell="H13" sqref="H13"/>
    </sheetView>
  </sheetViews>
  <sheetFormatPr defaultColWidth="9.14285714285714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</v>
      </c>
      <c r="I1" t="s">
        <v>18</v>
      </c>
    </row>
    <row r="2" spans="1:9">
      <c r="A2" t="s">
        <v>14</v>
      </c>
      <c r="B2" t="s">
        <v>13</v>
      </c>
      <c r="C2">
        <v>50</v>
      </c>
      <c r="D2">
        <v>19.5</v>
      </c>
      <c r="E2">
        <v>196</v>
      </c>
      <c r="F2">
        <v>3900</v>
      </c>
      <c r="G2" t="s">
        <v>9</v>
      </c>
      <c r="H2">
        <v>3.9</v>
      </c>
      <c r="I2" t="s">
        <v>19</v>
      </c>
    </row>
    <row r="3" spans="1:9">
      <c r="A3" t="s">
        <v>14</v>
      </c>
      <c r="B3" t="s">
        <v>13</v>
      </c>
      <c r="C3">
        <v>51.3</v>
      </c>
      <c r="D3">
        <v>19.2</v>
      </c>
      <c r="E3">
        <v>193</v>
      </c>
      <c r="F3">
        <v>3650</v>
      </c>
      <c r="G3" t="s">
        <v>9</v>
      </c>
      <c r="H3">
        <v>3.65</v>
      </c>
      <c r="I3" t="s">
        <v>19</v>
      </c>
    </row>
    <row r="4" spans="1:9">
      <c r="A4" t="s">
        <v>14</v>
      </c>
      <c r="B4" t="s">
        <v>13</v>
      </c>
      <c r="C4">
        <v>52.7</v>
      </c>
      <c r="D4">
        <v>19.8</v>
      </c>
      <c r="E4">
        <v>197</v>
      </c>
      <c r="F4">
        <v>3725</v>
      </c>
      <c r="G4" t="s">
        <v>9</v>
      </c>
      <c r="H4">
        <v>3.725</v>
      </c>
      <c r="I4" t="s">
        <v>19</v>
      </c>
    </row>
    <row r="5" spans="1:9">
      <c r="A5" t="s">
        <v>14</v>
      </c>
      <c r="B5" t="s">
        <v>13</v>
      </c>
      <c r="C5">
        <v>51.3</v>
      </c>
      <c r="D5">
        <v>18.2</v>
      </c>
      <c r="E5">
        <v>197</v>
      </c>
      <c r="F5">
        <v>3750</v>
      </c>
      <c r="G5" t="s">
        <v>9</v>
      </c>
      <c r="H5">
        <v>3.75</v>
      </c>
      <c r="I5" t="s">
        <v>19</v>
      </c>
    </row>
    <row r="6" spans="1:9">
      <c r="A6" t="s">
        <v>14</v>
      </c>
      <c r="B6" t="s">
        <v>13</v>
      </c>
      <c r="C6">
        <v>51.3</v>
      </c>
      <c r="D6">
        <v>19.9</v>
      </c>
      <c r="E6">
        <v>198</v>
      </c>
      <c r="F6">
        <v>3700</v>
      </c>
      <c r="G6" t="s">
        <v>9</v>
      </c>
      <c r="H6">
        <v>3.7</v>
      </c>
      <c r="I6" t="s">
        <v>19</v>
      </c>
    </row>
    <row r="7" spans="1:9">
      <c r="A7" t="s">
        <v>14</v>
      </c>
      <c r="B7" t="s">
        <v>13</v>
      </c>
      <c r="C7">
        <v>51.7</v>
      </c>
      <c r="D7">
        <v>20.3</v>
      </c>
      <c r="E7">
        <v>194</v>
      </c>
      <c r="F7">
        <v>3775</v>
      </c>
      <c r="G7" t="s">
        <v>9</v>
      </c>
      <c r="H7">
        <v>3.775</v>
      </c>
      <c r="I7" t="s">
        <v>19</v>
      </c>
    </row>
    <row r="8" spans="1:9">
      <c r="A8" t="s">
        <v>14</v>
      </c>
      <c r="B8" t="s">
        <v>13</v>
      </c>
      <c r="C8">
        <v>52</v>
      </c>
      <c r="D8">
        <v>18.1</v>
      </c>
      <c r="E8">
        <v>201</v>
      </c>
      <c r="F8">
        <v>4050</v>
      </c>
      <c r="G8" t="s">
        <v>9</v>
      </c>
      <c r="H8">
        <v>4.05</v>
      </c>
      <c r="I8" t="s">
        <v>19</v>
      </c>
    </row>
    <row r="9" spans="1:9">
      <c r="A9" t="s">
        <v>14</v>
      </c>
      <c r="B9" t="s">
        <v>13</v>
      </c>
      <c r="C9">
        <v>50.5</v>
      </c>
      <c r="D9">
        <v>19.6</v>
      </c>
      <c r="E9">
        <v>201</v>
      </c>
      <c r="F9">
        <v>4050</v>
      </c>
      <c r="G9" t="s">
        <v>9</v>
      </c>
      <c r="H9">
        <v>4.05</v>
      </c>
      <c r="I9" t="s">
        <v>19</v>
      </c>
    </row>
    <row r="10" spans="1:9">
      <c r="A10" t="s">
        <v>14</v>
      </c>
      <c r="B10" t="s">
        <v>13</v>
      </c>
      <c r="C10">
        <v>50.3</v>
      </c>
      <c r="D10">
        <v>20</v>
      </c>
      <c r="E10">
        <v>197</v>
      </c>
      <c r="F10">
        <v>3300</v>
      </c>
      <c r="G10" t="s">
        <v>9</v>
      </c>
      <c r="H10">
        <v>3.3</v>
      </c>
      <c r="I10" t="s">
        <v>19</v>
      </c>
    </row>
    <row r="11" spans="1:9">
      <c r="A11" t="s">
        <v>14</v>
      </c>
      <c r="B11" t="s">
        <v>13</v>
      </c>
      <c r="C11">
        <v>49.2</v>
      </c>
      <c r="D11">
        <v>18.2</v>
      </c>
      <c r="E11">
        <v>195</v>
      </c>
      <c r="F11">
        <v>4400</v>
      </c>
      <c r="G11" t="s">
        <v>9</v>
      </c>
      <c r="H11">
        <v>4.4</v>
      </c>
      <c r="I11" t="s">
        <v>19</v>
      </c>
    </row>
    <row r="12" spans="1:9">
      <c r="A12" t="s">
        <v>14</v>
      </c>
      <c r="B12" t="s">
        <v>13</v>
      </c>
      <c r="C12">
        <v>48.5</v>
      </c>
      <c r="D12">
        <v>17.5</v>
      </c>
      <c r="E12">
        <v>191</v>
      </c>
      <c r="F12">
        <v>3400</v>
      </c>
      <c r="G12" t="s">
        <v>9</v>
      </c>
      <c r="H12">
        <v>3.4</v>
      </c>
      <c r="I12" t="s">
        <v>19</v>
      </c>
    </row>
    <row r="13" spans="1:9">
      <c r="A13" t="s">
        <v>14</v>
      </c>
      <c r="B13" t="s">
        <v>13</v>
      </c>
      <c r="C13">
        <v>50.6</v>
      </c>
      <c r="D13">
        <v>19.4</v>
      </c>
      <c r="E13">
        <v>193</v>
      </c>
      <c r="F13">
        <v>3800</v>
      </c>
      <c r="G13" t="s">
        <v>9</v>
      </c>
      <c r="H13">
        <v>3.8</v>
      </c>
      <c r="I13" t="s">
        <v>19</v>
      </c>
    </row>
    <row r="14" spans="1:9">
      <c r="A14" t="s">
        <v>14</v>
      </c>
      <c r="B14" t="s">
        <v>13</v>
      </c>
      <c r="C14">
        <v>52</v>
      </c>
      <c r="D14">
        <v>19</v>
      </c>
      <c r="E14">
        <v>197</v>
      </c>
      <c r="F14">
        <v>4150</v>
      </c>
      <c r="G14" t="s">
        <v>9</v>
      </c>
      <c r="H14">
        <v>4.15</v>
      </c>
      <c r="I14" t="s">
        <v>19</v>
      </c>
    </row>
    <row r="15" spans="1:9">
      <c r="A15" t="s">
        <v>14</v>
      </c>
      <c r="B15" t="s">
        <v>13</v>
      </c>
      <c r="C15">
        <v>49.5</v>
      </c>
      <c r="D15">
        <v>19</v>
      </c>
      <c r="E15">
        <v>200</v>
      </c>
      <c r="F15">
        <v>3800</v>
      </c>
      <c r="G15" t="s">
        <v>9</v>
      </c>
      <c r="H15">
        <v>3.8</v>
      </c>
      <c r="I15" t="s">
        <v>19</v>
      </c>
    </row>
    <row r="16" spans="1:9">
      <c r="A16" t="s">
        <v>14</v>
      </c>
      <c r="B16" t="s">
        <v>13</v>
      </c>
      <c r="C16">
        <v>52.8</v>
      </c>
      <c r="D16">
        <v>20</v>
      </c>
      <c r="E16">
        <v>205</v>
      </c>
      <c r="F16">
        <v>4550</v>
      </c>
      <c r="G16" t="s">
        <v>9</v>
      </c>
      <c r="H16">
        <v>4.55</v>
      </c>
      <c r="I16" t="s">
        <v>19</v>
      </c>
    </row>
    <row r="17" spans="1:9">
      <c r="A17" t="s">
        <v>14</v>
      </c>
      <c r="B17" t="s">
        <v>13</v>
      </c>
      <c r="C17">
        <v>54.2</v>
      </c>
      <c r="D17">
        <v>20.8</v>
      </c>
      <c r="E17">
        <v>201</v>
      </c>
      <c r="F17">
        <v>4300</v>
      </c>
      <c r="G17" t="s">
        <v>9</v>
      </c>
      <c r="H17">
        <v>4.3</v>
      </c>
      <c r="I17" t="s">
        <v>19</v>
      </c>
    </row>
    <row r="18" spans="1:9">
      <c r="A18" t="s">
        <v>14</v>
      </c>
      <c r="B18" t="s">
        <v>13</v>
      </c>
      <c r="C18">
        <v>51</v>
      </c>
      <c r="D18">
        <v>18.8</v>
      </c>
      <c r="E18">
        <v>203</v>
      </c>
      <c r="F18">
        <v>4100</v>
      </c>
      <c r="G18" t="s">
        <v>9</v>
      </c>
      <c r="H18">
        <v>4.1</v>
      </c>
      <c r="I18" t="s">
        <v>19</v>
      </c>
    </row>
    <row r="19" spans="1:9">
      <c r="A19" t="s">
        <v>14</v>
      </c>
      <c r="B19" t="s">
        <v>13</v>
      </c>
      <c r="C19">
        <v>49.7</v>
      </c>
      <c r="D19">
        <v>18.6</v>
      </c>
      <c r="E19">
        <v>195</v>
      </c>
      <c r="F19">
        <v>3600</v>
      </c>
      <c r="G19" t="s">
        <v>9</v>
      </c>
      <c r="H19">
        <v>3.6</v>
      </c>
      <c r="I19" t="s">
        <v>19</v>
      </c>
    </row>
    <row r="20" spans="1:9">
      <c r="A20" t="s">
        <v>14</v>
      </c>
      <c r="B20" t="s">
        <v>13</v>
      </c>
      <c r="C20">
        <v>52</v>
      </c>
      <c r="D20">
        <v>20.7</v>
      </c>
      <c r="E20">
        <v>210</v>
      </c>
      <c r="F20">
        <v>4800</v>
      </c>
      <c r="G20" t="s">
        <v>9</v>
      </c>
      <c r="H20">
        <v>4.8</v>
      </c>
      <c r="I20" t="s">
        <v>19</v>
      </c>
    </row>
    <row r="21" spans="1:9">
      <c r="A21" t="s">
        <v>14</v>
      </c>
      <c r="B21" t="s">
        <v>13</v>
      </c>
      <c r="C21">
        <v>53.5</v>
      </c>
      <c r="D21">
        <v>19.9</v>
      </c>
      <c r="E21">
        <v>205</v>
      </c>
      <c r="F21">
        <v>4500</v>
      </c>
      <c r="G21" t="s">
        <v>9</v>
      </c>
      <c r="H21">
        <v>4.5</v>
      </c>
      <c r="I21" t="s">
        <v>19</v>
      </c>
    </row>
    <row r="22" spans="1:9">
      <c r="A22" t="s">
        <v>14</v>
      </c>
      <c r="B22" t="s">
        <v>13</v>
      </c>
      <c r="C22">
        <v>49</v>
      </c>
      <c r="D22">
        <v>19.5</v>
      </c>
      <c r="E22">
        <v>210</v>
      </c>
      <c r="F22">
        <v>3950</v>
      </c>
      <c r="G22" t="s">
        <v>9</v>
      </c>
      <c r="H22">
        <v>3.95</v>
      </c>
      <c r="I22" t="s">
        <v>19</v>
      </c>
    </row>
    <row r="23" spans="1:9">
      <c r="A23" t="s">
        <v>14</v>
      </c>
      <c r="B23" t="s">
        <v>13</v>
      </c>
      <c r="C23">
        <v>50.9</v>
      </c>
      <c r="D23">
        <v>19.1</v>
      </c>
      <c r="E23">
        <v>196</v>
      </c>
      <c r="F23">
        <v>3550</v>
      </c>
      <c r="G23" t="s">
        <v>9</v>
      </c>
      <c r="H23">
        <v>3.55</v>
      </c>
      <c r="I23" t="s">
        <v>19</v>
      </c>
    </row>
    <row r="24" spans="1:9">
      <c r="A24" t="s">
        <v>14</v>
      </c>
      <c r="B24" t="s">
        <v>13</v>
      </c>
      <c r="C24">
        <v>50.8</v>
      </c>
      <c r="D24">
        <v>18.5</v>
      </c>
      <c r="E24">
        <v>201</v>
      </c>
      <c r="F24">
        <v>4450</v>
      </c>
      <c r="G24" t="s">
        <v>9</v>
      </c>
      <c r="H24">
        <v>4.45</v>
      </c>
      <c r="I24" t="s">
        <v>19</v>
      </c>
    </row>
    <row r="25" spans="1:9">
      <c r="A25" t="s">
        <v>14</v>
      </c>
      <c r="B25" t="s">
        <v>13</v>
      </c>
      <c r="C25">
        <v>49</v>
      </c>
      <c r="D25">
        <v>19.6</v>
      </c>
      <c r="E25">
        <v>212</v>
      </c>
      <c r="F25">
        <v>4300</v>
      </c>
      <c r="G25" t="s">
        <v>9</v>
      </c>
      <c r="H25">
        <v>4.3</v>
      </c>
      <c r="I25" t="s">
        <v>19</v>
      </c>
    </row>
    <row r="26" spans="1:9">
      <c r="A26" t="s">
        <v>14</v>
      </c>
      <c r="B26" t="s">
        <v>13</v>
      </c>
      <c r="C26">
        <v>51.5</v>
      </c>
      <c r="D26">
        <v>18.7</v>
      </c>
      <c r="E26">
        <v>187</v>
      </c>
      <c r="F26">
        <v>3250</v>
      </c>
      <c r="G26" t="s">
        <v>9</v>
      </c>
      <c r="H26">
        <v>3.25</v>
      </c>
      <c r="I26" t="s">
        <v>19</v>
      </c>
    </row>
    <row r="27" spans="1:9">
      <c r="A27" t="s">
        <v>14</v>
      </c>
      <c r="B27" t="s">
        <v>13</v>
      </c>
      <c r="C27">
        <v>51.4</v>
      </c>
      <c r="D27">
        <v>19</v>
      </c>
      <c r="E27">
        <v>201</v>
      </c>
      <c r="F27">
        <v>3950</v>
      </c>
      <c r="G27" t="s">
        <v>9</v>
      </c>
      <c r="H27">
        <v>3.95</v>
      </c>
      <c r="I27" t="s">
        <v>19</v>
      </c>
    </row>
    <row r="28" spans="1:9">
      <c r="A28" t="s">
        <v>14</v>
      </c>
      <c r="B28" t="s">
        <v>13</v>
      </c>
      <c r="C28">
        <v>50.7</v>
      </c>
      <c r="D28">
        <v>19.7</v>
      </c>
      <c r="E28">
        <v>203</v>
      </c>
      <c r="F28">
        <v>4050</v>
      </c>
      <c r="G28" t="s">
        <v>9</v>
      </c>
      <c r="H28">
        <v>4.05</v>
      </c>
      <c r="I28" t="s">
        <v>19</v>
      </c>
    </row>
    <row r="29" spans="1:9">
      <c r="A29" t="s">
        <v>14</v>
      </c>
      <c r="B29" t="s">
        <v>13</v>
      </c>
      <c r="C29">
        <v>52.2</v>
      </c>
      <c r="D29">
        <v>18.8</v>
      </c>
      <c r="E29">
        <v>197</v>
      </c>
      <c r="F29">
        <v>3450</v>
      </c>
      <c r="G29" t="s">
        <v>9</v>
      </c>
      <c r="H29">
        <v>3.45</v>
      </c>
      <c r="I29" t="s">
        <v>19</v>
      </c>
    </row>
    <row r="30" spans="1:9">
      <c r="A30" t="s">
        <v>14</v>
      </c>
      <c r="B30" t="s">
        <v>13</v>
      </c>
      <c r="C30">
        <v>49.3</v>
      </c>
      <c r="D30">
        <v>19.9</v>
      </c>
      <c r="E30">
        <v>203</v>
      </c>
      <c r="F30">
        <v>4050</v>
      </c>
      <c r="G30" t="s">
        <v>9</v>
      </c>
      <c r="H30">
        <v>4.05</v>
      </c>
      <c r="I30" t="s">
        <v>19</v>
      </c>
    </row>
    <row r="31" spans="1:9">
      <c r="A31" t="s">
        <v>14</v>
      </c>
      <c r="B31" t="s">
        <v>13</v>
      </c>
      <c r="C31">
        <v>50.2</v>
      </c>
      <c r="D31">
        <v>18.8</v>
      </c>
      <c r="E31">
        <v>202</v>
      </c>
      <c r="F31">
        <v>3800</v>
      </c>
      <c r="G31" t="s">
        <v>9</v>
      </c>
      <c r="H31">
        <v>3.8</v>
      </c>
      <c r="I31" t="s">
        <v>19</v>
      </c>
    </row>
    <row r="32" spans="1:9">
      <c r="A32" t="s">
        <v>14</v>
      </c>
      <c r="B32" t="s">
        <v>13</v>
      </c>
      <c r="C32">
        <v>51.9</v>
      </c>
      <c r="D32">
        <v>19.5</v>
      </c>
      <c r="E32">
        <v>206</v>
      </c>
      <c r="F32">
        <v>3950</v>
      </c>
      <c r="G32" t="s">
        <v>9</v>
      </c>
      <c r="H32">
        <v>3.95</v>
      </c>
      <c r="I32" t="s">
        <v>19</v>
      </c>
    </row>
    <row r="33" spans="1:9">
      <c r="A33" t="s">
        <v>14</v>
      </c>
      <c r="B33" t="s">
        <v>13</v>
      </c>
      <c r="C33">
        <v>55.8</v>
      </c>
      <c r="D33">
        <v>19.8</v>
      </c>
      <c r="E33">
        <v>207</v>
      </c>
      <c r="F33">
        <v>4000</v>
      </c>
      <c r="G33" t="s">
        <v>9</v>
      </c>
      <c r="H33">
        <v>4</v>
      </c>
      <c r="I33" t="s">
        <v>19</v>
      </c>
    </row>
    <row r="34" spans="1:9">
      <c r="A34" t="s">
        <v>14</v>
      </c>
      <c r="B34" t="s">
        <v>13</v>
      </c>
      <c r="C34">
        <v>49.6</v>
      </c>
      <c r="D34">
        <v>18.2</v>
      </c>
      <c r="E34">
        <v>193</v>
      </c>
      <c r="F34">
        <v>3775</v>
      </c>
      <c r="G34" t="s">
        <v>9</v>
      </c>
      <c r="H34">
        <v>3.775</v>
      </c>
      <c r="I34" t="s">
        <v>19</v>
      </c>
    </row>
    <row r="35" spans="1:9">
      <c r="A35" t="s">
        <v>14</v>
      </c>
      <c r="B35" t="s">
        <v>13</v>
      </c>
      <c r="C35">
        <v>50.8</v>
      </c>
      <c r="D35">
        <v>19</v>
      </c>
      <c r="E35">
        <v>210</v>
      </c>
      <c r="F35">
        <v>4100</v>
      </c>
      <c r="G35" t="s">
        <v>9</v>
      </c>
      <c r="H35">
        <v>4.1</v>
      </c>
      <c r="I35" t="s">
        <v>19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38"/>
  <sheetViews>
    <sheetView workbookViewId="0">
      <selection activeCell="A4" sqref="A4"/>
    </sheetView>
  </sheetViews>
  <sheetFormatPr defaultColWidth="9.14285714285714" defaultRowHeight="15"/>
  <cols>
    <col min="1" max="2" width="16.8571428571429"/>
    <col min="4" max="4" width="31"/>
    <col min="5" max="13" width="12.8571428571429"/>
    <col min="14" max="169" width="22.4285714285714"/>
    <col min="170" max="212" width="12.8571428571429"/>
    <col min="213" max="213" width="13.4285714285714"/>
    <col min="214" max="221" width="11.952380952381"/>
    <col min="222" max="222" width="15.4285714285714"/>
    <col min="223" max="223" width="8.09523809523809"/>
    <col min="224" max="224" width="11.1428571428571"/>
    <col min="225" max="225" width="12.8571428571429"/>
  </cols>
  <sheetData>
    <row r="3" spans="1:5">
      <c r="A3" t="s">
        <v>20</v>
      </c>
      <c r="B3" t="s">
        <v>21</v>
      </c>
    </row>
    <row r="4" spans="1:5">
      <c r="A4">
        <v>344</v>
      </c>
      <c r="B4">
        <v>344</v>
      </c>
    </row>
    <row r="9" spans="1:5">
      <c r="D9" t="s">
        <v>0</v>
      </c>
      <c r="E9" t="s">
        <v>20</v>
      </c>
    </row>
    <row r="10" spans="1:5">
      <c r="D10" t="s">
        <v>7</v>
      </c>
      <c r="E10">
        <v>152</v>
      </c>
    </row>
    <row r="11" spans="1:5">
      <c r="D11" t="s">
        <v>15</v>
      </c>
      <c r="E11">
        <v>124</v>
      </c>
    </row>
    <row r="12" spans="1:5">
      <c r="D12" t="s">
        <v>14</v>
      </c>
      <c r="E12">
        <v>68</v>
      </c>
    </row>
    <row r="13" spans="1:5">
      <c r="D13" t="s">
        <v>22</v>
      </c>
      <c r="E13">
        <v>344</v>
      </c>
    </row>
    <row r="18" spans="4:9">
      <c r="D18" t="s">
        <v>1</v>
      </c>
      <c r="E18" t="s">
        <v>21</v>
      </c>
    </row>
    <row r="19" spans="4:9">
      <c r="D19" t="s">
        <v>8</v>
      </c>
      <c r="E19">
        <v>52</v>
      </c>
    </row>
    <row r="20" spans="4:9">
      <c r="D20" t="s">
        <v>12</v>
      </c>
      <c r="E20">
        <v>168</v>
      </c>
    </row>
    <row r="21" spans="4:9">
      <c r="D21" t="s">
        <v>13</v>
      </c>
      <c r="E21">
        <v>124</v>
      </c>
    </row>
    <row r="22" spans="4:9">
      <c r="D22" t="s">
        <v>22</v>
      </c>
      <c r="E22">
        <v>344</v>
      </c>
    </row>
    <row r="25" spans="4:9">
      <c r="D25" t="s">
        <v>23</v>
      </c>
      <c r="E25" t="s">
        <v>18</v>
      </c>
    </row>
    <row r="26" spans="4:9">
      <c r="D26" t="s">
        <v>0</v>
      </c>
      <c r="E26" t="s">
        <v>19</v>
      </c>
      <c r="F26" t="s">
        <v>24</v>
      </c>
      <c r="G26" t="s">
        <v>25</v>
      </c>
      <c r="H26" t="e">
        <v>#N/A</v>
      </c>
      <c r="I26" t="s">
        <v>22</v>
      </c>
    </row>
    <row r="27" spans="4:9">
      <c r="D27" t="s">
        <v>7</v>
      </c>
      <c r="E27">
        <v>192.41095890411</v>
      </c>
      <c r="F27">
        <v>187.794520547945</v>
      </c>
      <c r="G27">
        <v>185.6</v>
      </c>
      <c r="I27">
        <v>189.953642384106</v>
      </c>
    </row>
    <row r="28" spans="4:9">
      <c r="D28" t="s">
        <v>14</v>
      </c>
      <c r="E28">
        <v>199.911764705882</v>
      </c>
      <c r="F28">
        <v>191.735294117647</v>
      </c>
      <c r="I28">
        <v>195.823529411765</v>
      </c>
    </row>
    <row r="29" spans="4:9">
      <c r="D29" t="s">
        <v>15</v>
      </c>
      <c r="E29">
        <v>221.540983606557</v>
      </c>
      <c r="F29">
        <v>212.706896551724</v>
      </c>
      <c r="G29">
        <v>215.333333333333</v>
      </c>
      <c r="H29">
        <v>217</v>
      </c>
      <c r="I29">
        <v>217.186991869919</v>
      </c>
    </row>
    <row r="30" spans="4:9">
      <c r="D30" t="s">
        <v>22</v>
      </c>
      <c r="E30">
        <v>204.505952380952</v>
      </c>
      <c r="F30">
        <v>197.363636363636</v>
      </c>
      <c r="G30">
        <v>196.75</v>
      </c>
      <c r="H30">
        <v>217</v>
      </c>
      <c r="I30">
        <v>200.915204678363</v>
      </c>
    </row>
    <row r="33" spans="4:8">
      <c r="D33" t="s">
        <v>23</v>
      </c>
      <c r="E33" t="s">
        <v>0</v>
      </c>
    </row>
    <row r="34" spans="4:8">
      <c r="D34" t="s">
        <v>1</v>
      </c>
      <c r="E34" t="s">
        <v>7</v>
      </c>
      <c r="F34" t="s">
        <v>14</v>
      </c>
      <c r="G34" t="s">
        <v>15</v>
      </c>
      <c r="H34" t="s">
        <v>22</v>
      </c>
    </row>
    <row r="35" spans="4:8">
      <c r="D35" t="s">
        <v>8</v>
      </c>
      <c r="E35">
        <v>191.196078431373</v>
      </c>
      <c r="H35">
        <v>191.196078431373</v>
      </c>
    </row>
    <row r="36" spans="4:8">
      <c r="D36" t="s">
        <v>12</v>
      </c>
      <c r="E36">
        <v>188.795454545455</v>
      </c>
      <c r="G36">
        <v>217.186991869919</v>
      </c>
      <c r="H36">
        <v>209.706586826347</v>
      </c>
    </row>
    <row r="37" spans="4:8">
      <c r="D37" t="s">
        <v>13</v>
      </c>
      <c r="E37">
        <v>189.732142857143</v>
      </c>
      <c r="F37">
        <v>195.823529411765</v>
      </c>
      <c r="H37">
        <v>193.072580645161</v>
      </c>
    </row>
    <row r="38" spans="4:8">
      <c r="D38" t="s">
        <v>22</v>
      </c>
      <c r="E38">
        <v>189.953642384106</v>
      </c>
      <c r="F38">
        <v>195.823529411765</v>
      </c>
      <c r="G38">
        <v>217.186991869919</v>
      </c>
      <c r="H38">
        <v>200.915204678363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70" zoomScaleNormal="70" workbookViewId="0">
      <selection activeCell="AH55" sqref="AH55"/>
    </sheetView>
  </sheetViews>
  <sheetFormatPr defaultColWidth="9.14285714285714" defaultRowHeight="15"/>
  <cols>
    <col min="1" max="1" width="4.81904761904762" customWidth="1"/>
    <col min="2" max="2" width="14.1047619047619" customWidth="1"/>
    <col min="3" max="3" width="5.35238095238095" customWidth="1"/>
  </cols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penguins_size_OG</vt:lpstr>
      <vt:lpstr>penguins_alt</vt:lpstr>
      <vt:lpstr>Sheet4</vt:lpstr>
      <vt:lpstr>pivots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WPS_1664291690</cp:lastModifiedBy>
  <dcterms:created xsi:type="dcterms:W3CDTF">2026-08-24T14:58:00Z</dcterms:created>
  <dcterms:modified xsi:type="dcterms:W3CDTF">2026-08-25T12:21:28Z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2C358A0B06F6466BA15C8324C94D43EE_13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